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gazzino" sheetId="1" r:id="rId5"/>
    <sheet state="visible" name="Scarico" sheetId="2" r:id="rId6"/>
    <sheet state="visible" name="Carico" sheetId="3" r:id="rId7"/>
  </sheets>
  <definedNames>
    <definedName name="B4b1000">Magazzino!$B$4</definedName>
    <definedName hidden="1" localSheetId="0" name="Z_CF22B768_41AB_4095_A8BB_F193DFD8A6B7_.wvu.FilterData">Magazzino!$A$1:$F$987</definedName>
  </definedNames>
  <calcPr/>
  <customWorkbookViews>
    <customWorkbookView activeSheetId="0" maximized="1" windowHeight="0" windowWidth="0" guid="{CF22B768-41AB-4095-A8BB-F193DFD8A6B7}" name="DA ORDINARE"/>
  </customWorkbookViews>
</workbook>
</file>

<file path=xl/sharedStrings.xml><?xml version="1.0" encoding="utf-8"?>
<sst xmlns="http://schemas.openxmlformats.org/spreadsheetml/2006/main" count="2710" uniqueCount="304">
  <si>
    <t>Colonna 1</t>
  </si>
  <si>
    <t>PRODOTTI - CARICO MERCI</t>
  </si>
  <si>
    <t>PRODOTTI SCARICO</t>
  </si>
  <si>
    <t>QUANTITÁ</t>
  </si>
  <si>
    <t>FORNITORE</t>
  </si>
  <si>
    <t>PRODOTTI</t>
  </si>
  <si>
    <t>PEZZI SCARICATI</t>
  </si>
  <si>
    <t>DATA</t>
  </si>
  <si>
    <t>GIACENZA AGGIORNATA</t>
  </si>
  <si>
    <t>PRODOTTI IN  GIACENZA</t>
  </si>
  <si>
    <t>GIACENZA INIZIALE</t>
  </si>
  <si>
    <t>DESTINAZIONE</t>
  </si>
  <si>
    <t>PREZZO</t>
  </si>
  <si>
    <t>TOTALE AGGIORNATO</t>
  </si>
  <si>
    <t>ACCHIAPPA COLORE</t>
  </si>
  <si>
    <t>VELINE RETTANGOLARI</t>
  </si>
  <si>
    <t>TOVAGLIOLI 40X40 RISPARMIO CASA **</t>
  </si>
  <si>
    <t>RISPARMIO CASA</t>
  </si>
  <si>
    <t>TOVAGLIOLI 38X38 **</t>
  </si>
  <si>
    <t>ACQUA STIRO DISTILLATA 5LT</t>
  </si>
  <si>
    <t>GIACENZA</t>
  </si>
  <si>
    <t>FELCE AZZURRA MANI ANTIBATTERICO 300ML</t>
  </si>
  <si>
    <t>ALCOOL 1LT</t>
  </si>
  <si>
    <t>AMUCHINA 1LT</t>
  </si>
  <si>
    <t>FAIRY ORIGINAL 90 CAPS</t>
  </si>
  <si>
    <t>AMULSIO STIRA BENE</t>
  </si>
  <si>
    <t>FAIRY LAVASTOVIGLIE PLATINUM 28</t>
  </si>
  <si>
    <t>ANTITARME ALIMENTARI (SCADUTO)</t>
  </si>
  <si>
    <t>CARTA IGIENICA X 4</t>
  </si>
  <si>
    <t>CASA AU</t>
  </si>
  <si>
    <t>ARGENTIL SPRAY</t>
  </si>
  <si>
    <t>ARIA SANA UMIDITÁ</t>
  </si>
  <si>
    <t>VANISH OXI ACTION</t>
  </si>
  <si>
    <t>SWIFFER KIT SPOLVERO</t>
  </si>
  <si>
    <t>ASCIUGATUTTO X CUCINA</t>
  </si>
  <si>
    <t>BACINELLE BUCATO</t>
  </si>
  <si>
    <t>SWIFFER POLVERE RICARICHE</t>
  </si>
  <si>
    <t>BALSAMO FRUCTIS GARNIER **</t>
  </si>
  <si>
    <t>SENSODYNE COMPLEX DAILY</t>
  </si>
  <si>
    <t>BIALCOL</t>
  </si>
  <si>
    <t>MAURYS ASCIUGA ROTOLI X2</t>
  </si>
  <si>
    <t>BICARBONATO ALIMENTARE 1KG</t>
  </si>
  <si>
    <t>BOROTALCO DOCCIA ORIGINAL **</t>
  </si>
  <si>
    <t>BIOHY X TAPPETI shampoo</t>
  </si>
  <si>
    <t>EMULSIO RAVVIVA PARQUET **</t>
  </si>
  <si>
    <t>TOVAGLIOLI RISPARMIO CASA 33X33</t>
  </si>
  <si>
    <t>BLUHOME PROF. BUCATO FIORI ARANCIO</t>
  </si>
  <si>
    <t>NAPISAN ADDITIVO LAVATRICE 2,2 LT.</t>
  </si>
  <si>
    <t>BLUHOME PROF. BUCATO FIORI PULITO</t>
  </si>
  <si>
    <t>WC NET CANDEGGINA GEL **</t>
  </si>
  <si>
    <t>BOROTALCO BUSTE  POLVERE</t>
  </si>
  <si>
    <t>VERT IGIENIZZANTE BEBÉ **</t>
  </si>
  <si>
    <t>SWIFFER KIT PAVIMENTO</t>
  </si>
  <si>
    <t>BOROTALCO INVISIBILE SPRAY</t>
  </si>
  <si>
    <t>VERT AMMORBIDENTE BEBÉ CONCENTRATO **</t>
  </si>
  <si>
    <t>BRICOMEX - OLIO DI LINO 5 LT.</t>
  </si>
  <si>
    <t>VERT DETERGENTE LAVATRICE BEBE RICARICA **</t>
  </si>
  <si>
    <t>BROX CANCELLA SU MURO - GOMMA</t>
  </si>
  <si>
    <t>CALGON 1.5 LT</t>
  </si>
  <si>
    <t>TEMPO 4 VELI X12</t>
  </si>
  <si>
    <t>SACCHI NERI 70X110 (COND.) X10</t>
  </si>
  <si>
    <t>CALGON 2 LT.</t>
  </si>
  <si>
    <t>CALGON 750 CC</t>
  </si>
  <si>
    <t>CALGON PASTIGLIE ANTICALC. LAVATRICE</t>
  </si>
  <si>
    <t>AVV.</t>
  </si>
  <si>
    <t>CARRELLO BIDONE CARRY ECO</t>
  </si>
  <si>
    <t>VELINE QUADRATE **</t>
  </si>
  <si>
    <t>CARTA FORNO</t>
  </si>
  <si>
    <t>FISSAN SALVIETTE DELICATE</t>
  </si>
  <si>
    <t>CEPPO COLTELLI + COLTELLI</t>
  </si>
  <si>
    <t>NAPISAN CURA LAVATRICE IGIENIZZANTE</t>
  </si>
  <si>
    <t>CHANTECLAIR E RICARICHE</t>
  </si>
  <si>
    <t>FAIRY CAPS LAVASTOVIGLIE GRANDI</t>
  </si>
  <si>
    <t>CHANTECLAYS SPRAY KIT</t>
  </si>
  <si>
    <t>CIF CREMA CANDEGGINA</t>
  </si>
  <si>
    <t>CIF CREMA GREEN ACTIVE</t>
  </si>
  <si>
    <t>CIF PIATTI 1 LT</t>
  </si>
  <si>
    <t>SACCHI NERI CONDOMINIO 80X120 (OPERAI-AVV.-GIARD.)</t>
  </si>
  <si>
    <t>CIF PIATTI 2 LT</t>
  </si>
  <si>
    <t xml:space="preserve">MARMO LUX </t>
  </si>
  <si>
    <t>COCCOLINO AMMORBIDENTE 3 LT</t>
  </si>
  <si>
    <t>FABULOSO AMMORBIDENTE 1,5 LT.</t>
  </si>
  <si>
    <t>VIAKAL LIQUIDO</t>
  </si>
  <si>
    <t>SPUGNA CUCINA ABRASIVA (GIALLO VERDE)</t>
  </si>
  <si>
    <t xml:space="preserve">COPRI SCARPE </t>
  </si>
  <si>
    <t>VIAKAL SPRAY</t>
  </si>
  <si>
    <t>CUFFIE MONOUSO (SCADUTE)</t>
  </si>
  <si>
    <t>RUK SMACCHIATORE RUGGINE ABITI</t>
  </si>
  <si>
    <t>CUSTODIE ABITI</t>
  </si>
  <si>
    <t>SIDOL</t>
  </si>
  <si>
    <t>CUSTODIE CAPPOTTI</t>
  </si>
  <si>
    <t>CUSTODIE TRAPUNTE</t>
  </si>
  <si>
    <t>VILEDA STRACCI PAVIMENTI 48X60</t>
  </si>
  <si>
    <t>DASH POWER POLVERE 3.5 KG</t>
  </si>
  <si>
    <t>VALIDO OLIO PAGLIERINO CHIARO</t>
  </si>
  <si>
    <t>DASH POWER POLVERE 4 KG.</t>
  </si>
  <si>
    <t>PRONTO MOBILE OLIO</t>
  </si>
  <si>
    <t>DECAL C - DISINCROSTANTE 1 LT.</t>
  </si>
  <si>
    <t>FRESH AROMA DEODORANTE AMBIENTE</t>
  </si>
  <si>
    <t>VILEDA PANNO MICROFIBRA XL</t>
  </si>
  <si>
    <t>DECALFE-DECALCIFICANTE MACCHINE DA CAFFÉ</t>
  </si>
  <si>
    <t>SAPONE BUCATO SPUMA DI CHAMPAGNE</t>
  </si>
  <si>
    <t>DEKAL STIRO</t>
  </si>
  <si>
    <t>DEO GEL DEODORANTE</t>
  </si>
  <si>
    <t>SAPONE MOLLE SOLE</t>
  </si>
  <si>
    <t>DIAVOLINA ACCENDI FUOCO</t>
  </si>
  <si>
    <t>SAPONE MOLLE ALGA</t>
  </si>
  <si>
    <t>DISCO ABRASIVO PER PAVIMENTO TERRAZZO COPERTURA</t>
  </si>
  <si>
    <t>LYSOFORM LIQUIDO</t>
  </si>
  <si>
    <t>SGRASSATORE DEXAL 1L. SPRAY</t>
  </si>
  <si>
    <t>DIXAN LAVATRICE CLASSICO 1 LT.</t>
  </si>
  <si>
    <t>SERGIO MC CANTIERE</t>
  </si>
  <si>
    <t>DIXAN LAVATRICE LAVANDA 1 LT.</t>
  </si>
  <si>
    <t>LYSOFORM SPRAY</t>
  </si>
  <si>
    <t>DOVE DEODORANTE</t>
  </si>
  <si>
    <t>EMULSIO RAVVIVA MARMO</t>
  </si>
  <si>
    <t>RISPARMIO CASA PANNO PAVIMENTI 50X70</t>
  </si>
  <si>
    <t>GUANTI MONOUSO SYNGUARD MISURA XL</t>
  </si>
  <si>
    <t>WC NET NO CANDEGGINA</t>
  </si>
  <si>
    <t>DIXAN CLASSICO 2 LT</t>
  </si>
  <si>
    <t>FELCE AZZURRA BAGNO DOCCIA</t>
  </si>
  <si>
    <t>QUASAR VETRI</t>
  </si>
  <si>
    <t>MAURYS ASCIUGA ROTOLI X1</t>
  </si>
  <si>
    <t xml:space="preserve">FELCE AZZURRA MANI CLASSICO </t>
  </si>
  <si>
    <t>FINISH BRILLANTANTE</t>
  </si>
  <si>
    <t>NAPISAN SPRAY SUPERFICI</t>
  </si>
  <si>
    <t>FINISH CURA LAVASTOVIGLIE</t>
  </si>
  <si>
    <t>AJAX DETERSIVO PER PAVIMENTI 1,9 LT</t>
  </si>
  <si>
    <t>FINISH PROF. LAVASTOVIGLIE ANTIODORE</t>
  </si>
  <si>
    <t>MARIANA CASA AU</t>
  </si>
  <si>
    <t>VANISH OXI POLVERE</t>
  </si>
  <si>
    <t>GHIACCI PER FRIGO</t>
  </si>
  <si>
    <t>VIM POLVERE</t>
  </si>
  <si>
    <t>GUANTI LAVAGGIO PIATTI MISURA M8</t>
  </si>
  <si>
    <t xml:space="preserve">GUANTI MONOUSO SYNGUARD MISURA L </t>
  </si>
  <si>
    <t>GUANTI MONOUSO SYNGUARD MISURA M</t>
  </si>
  <si>
    <t>SOFLAN COLORI INTENSI 1 LT.</t>
  </si>
  <si>
    <t>GUANTI PIATTI MISURA L</t>
  </si>
  <si>
    <t>SOFLAN CAPI SCURI 1 LT.</t>
  </si>
  <si>
    <t>GYO STYLE ALLUMINIO 1 PORZIONE</t>
  </si>
  <si>
    <t>DEODORANTE AMBIENTE GEL</t>
  </si>
  <si>
    <t>ACE CANDEGGINA 5LT</t>
  </si>
  <si>
    <t>GYO STYLE ALLUMINIO 4 PORZIONI</t>
  </si>
  <si>
    <t>SACCHETTI ASPIRAPOLVERE PORTINERIA</t>
  </si>
  <si>
    <t>IKEA SPAZZOLE LEVA PELI BASTIS KIT</t>
  </si>
  <si>
    <t>POLTI FILTRO FERO DA STIRO</t>
  </si>
  <si>
    <t>IKEA SPAZZOLE LEVA PELI BASTIS RICARICHE X4</t>
  </si>
  <si>
    <t>MOLLETTE BUCATO</t>
  </si>
  <si>
    <t>IKEA TAPPETINO GOMMA TRASPARENTE</t>
  </si>
  <si>
    <t>INSETTICIDA ANTI SCARAFAGGI BOMBOLETTE</t>
  </si>
  <si>
    <t>INSETTICIDA FULMINE VESPE E CALAB.</t>
  </si>
  <si>
    <t>INSETTICIDA RAID MAX SCARAF. + FORM.</t>
  </si>
  <si>
    <t>INSETTICIDA TOPI BLOCK RAT</t>
  </si>
  <si>
    <t xml:space="preserve">MAURYS SAPONE LIQUIDO MANI </t>
  </si>
  <si>
    <t>INSETTICIDA VAPE ESCA SCARAF. X3</t>
  </si>
  <si>
    <t>INSETTICIDA VAPE FORMICHE</t>
  </si>
  <si>
    <t>INSETTICIDA VAPE TRAPPOLA ECOLOGICA (SCAD.)</t>
  </si>
  <si>
    <t>DOVE MOUSSE DOCCIA OLIO DI COTONE</t>
  </si>
  <si>
    <t>LENOR PROFUMO PER BUCATO AMETISTA ROSA</t>
  </si>
  <si>
    <t>SHAMPOO ANTICA ERBORISTERIA FICO D'INDIA</t>
  </si>
  <si>
    <t>LENOR PROFUMO PER BUCATO PRIMAVERA</t>
  </si>
  <si>
    <t>LENOR PROFUMO PER BUCATO VANIGLIA</t>
  </si>
  <si>
    <t>SHAMPOO ANTICA ERBORISTERIA CAMOMILLA</t>
  </si>
  <si>
    <t>LIP WOOLITE 1.5 LT</t>
  </si>
  <si>
    <t>VERT AMMORBIDENTE BEBÉ **</t>
  </si>
  <si>
    <t>SPUGNA MASSAGGIO</t>
  </si>
  <si>
    <t xml:space="preserve">LYSOFORM PROTEZIONI MANI </t>
  </si>
  <si>
    <t>TORRE MAGAZZINO</t>
  </si>
  <si>
    <t>COMPAGNIA DELLE INDIE BAGNO DOCCIA</t>
  </si>
  <si>
    <t>MANGIA CAPELLI - STURA SCARICHI</t>
  </si>
  <si>
    <t>SHAMPOO FRUCTIS GARNIER FORTI E BRILL. **</t>
  </si>
  <si>
    <t>MANICO SCOPA IN PLASTICA ROSSO</t>
  </si>
  <si>
    <t>MASCHERINE COMUNI</t>
  </si>
  <si>
    <t>MASCHERINE KN95</t>
  </si>
  <si>
    <t>DISCHETTI STRUCCANTI</t>
  </si>
  <si>
    <t>RISPARMIO CASA COTON FIOC</t>
  </si>
  <si>
    <t>MAURYS CLIP PAVIMENTI 40X60</t>
  </si>
  <si>
    <t>MAURYS PAVIMENTI CON ALCOL</t>
  </si>
  <si>
    <t xml:space="preserve">MAURYS ROTOLONI MULTIUSO </t>
  </si>
  <si>
    <t>FAIRY CAPS LAVASTOVIGLIE PICCOLE</t>
  </si>
  <si>
    <t>SOLE DETERSIVO BUCATO LANA NERI</t>
  </si>
  <si>
    <t xml:space="preserve">MAURYS SPRUZZINO </t>
  </si>
  <si>
    <t>SOLE DETERSIVO BUCATO COLORATI</t>
  </si>
  <si>
    <t>MEDIA CLEANER SPRAY</t>
  </si>
  <si>
    <t>MILLE BOLLE ROTOLI (INIZIATI)</t>
  </si>
  <si>
    <t>CALESINI CASA AU</t>
  </si>
  <si>
    <t>SACCHETTI UFFICIO TRASP.</t>
  </si>
  <si>
    <t>VICTORIA UFFICI</t>
  </si>
  <si>
    <t>NAPISAN SGRASSATORE IGIENIZZANTE</t>
  </si>
  <si>
    <t>NAPISAN SPRAY MILLEUSI</t>
  </si>
  <si>
    <t>OMINO BIANCO ADDITIVO</t>
  </si>
  <si>
    <t>PALEZZA ZINCATA + MANICO</t>
  </si>
  <si>
    <t>PANNI SPOLVERO BALLERINA</t>
  </si>
  <si>
    <t>PANNO SPUGNA BAGNO/CUCINA SVEDESE</t>
  </si>
  <si>
    <t>FERRANTE AMM.</t>
  </si>
  <si>
    <t>PELLICOLA X ALIMENTI</t>
  </si>
  <si>
    <t>PELLICOLA  TRASPARENTE PER IMBALLO 300 MT. 5X9,5 CM H.10</t>
  </si>
  <si>
    <t>SOFLAN INDUMENTI 1 LT.</t>
  </si>
  <si>
    <t>PELLICOLA  TRASPARENTE PER IMBALLO 300 MT. 5X9,5 CM H.40</t>
  </si>
  <si>
    <t>CALESINI</t>
  </si>
  <si>
    <t>SGRASSATORE DEXAL 1L. RICARICA</t>
  </si>
  <si>
    <t>PIATTO PIZZA NAPOLI</t>
  </si>
  <si>
    <t>PROFUMI ARMADI IN BUSTINE</t>
  </si>
  <si>
    <t>PROFUMI ARMADI SPRAY</t>
  </si>
  <si>
    <t>PRONTO LEGNO PULITO</t>
  </si>
  <si>
    <t>PURESSENTIEL PURIFICANTE MANI C10 1LT.</t>
  </si>
  <si>
    <t>NAPISAN ADDITIVO IN POLVERE LAVATRICE</t>
  </si>
  <si>
    <t>TORRE C10</t>
  </si>
  <si>
    <t>RACCOGLITORE SPORCO IN METALLO</t>
  </si>
  <si>
    <t>RACCOGLITORE SPORCO IN PLASTIC</t>
  </si>
  <si>
    <t>RETINE PIATTI</t>
  </si>
  <si>
    <t>RIO CASA MIA PAVIMENTI</t>
  </si>
  <si>
    <t>RISPARMIO CASA PANNO MICROFIBRA X8</t>
  </si>
  <si>
    <t>ROTOLO ALLUMINIO 150MT</t>
  </si>
  <si>
    <t>CALESINI C10</t>
  </si>
  <si>
    <t>ROTOLO ALLUMINIO 16MT</t>
  </si>
  <si>
    <t xml:space="preserve"> </t>
  </si>
  <si>
    <t>SACCHETTI GELO GRANDE</t>
  </si>
  <si>
    <t>LYSOFORM DETERGENTE PAVIMENTI 1,1 LT</t>
  </si>
  <si>
    <t>SACCHETTI GELO PICCOLI</t>
  </si>
  <si>
    <t>SACCHETTI ROWETA (FERRO DA STIRO)</t>
  </si>
  <si>
    <t>SACCHETTI AZZURRI 55X65</t>
  </si>
  <si>
    <t>SACCHI NERI 70X110 (COND.) X20</t>
  </si>
  <si>
    <t>SACCHI SOTTOVUOTO 42X50</t>
  </si>
  <si>
    <t>SACCHI SOTTOVUOTO 50X70</t>
  </si>
  <si>
    <t>SANITINA IGIENIZZANTE</t>
  </si>
  <si>
    <t>STRACCI PAVIMENTI COTONE</t>
  </si>
  <si>
    <t>SCOTTEX CUCINA X3</t>
  </si>
  <si>
    <t>SARATOGA CEPPO CAMINO</t>
  </si>
  <si>
    <t>SCOPA DA ESTERNO + MANICO</t>
  </si>
  <si>
    <t>SCOPA GARDEN CON MANICO LEGNO</t>
  </si>
  <si>
    <t>SILVER POLISH</t>
  </si>
  <si>
    <t>SCOPA SENZA MANICO</t>
  </si>
  <si>
    <t>VICTORIA CASA AU</t>
  </si>
  <si>
    <t>SCOPA STELLA CON MANICO</t>
  </si>
  <si>
    <t>SCOPE IN SAGGINA COMPLETE</t>
  </si>
  <si>
    <t>VERT LAVATRICE BEBÈ **</t>
  </si>
  <si>
    <t>SHAMPOO FRUCTIS FORTI E BRILL. GARNIER</t>
  </si>
  <si>
    <t>SMAC BRILLA METALLI (SCADUTO)</t>
  </si>
  <si>
    <t>SMAC BRILLA RAME (SCADUTO)</t>
  </si>
  <si>
    <t>SACCHI SOTTOVUOTO 120X80</t>
  </si>
  <si>
    <t>SPAZZOLA ABRASIVO PER PAVIMENTO TERRAZZO COPERTURA</t>
  </si>
  <si>
    <t>SPAZZOLE IN PLASTICA DA SGROSSO</t>
  </si>
  <si>
    <t>SPRAY ODORE ANIMALI</t>
  </si>
  <si>
    <t>ACE CANDEGGINA COMPRESSE</t>
  </si>
  <si>
    <t>STIRA E AMMIRA</t>
  </si>
  <si>
    <t>AMMONIACA 2LT</t>
  </si>
  <si>
    <t>FERRANTI PORT A+B</t>
  </si>
  <si>
    <t>STRACCI SPUGNA DI COTONE</t>
  </si>
  <si>
    <t>FINISH SALE LAVASTOV.</t>
  </si>
  <si>
    <t>TARDIVI GIARD.</t>
  </si>
  <si>
    <t>TELO ASSE DA STIRO</t>
  </si>
  <si>
    <t>TRAVERSINE IN CONFEZIONE</t>
  </si>
  <si>
    <t>TEMPO 4 VELI X 10</t>
  </si>
  <si>
    <t>TERGI VETRO ALLUNGABILE FLESSIBILE</t>
  </si>
  <si>
    <t>TONKITA SPAZZOLONE COMPACT</t>
  </si>
  <si>
    <t>TUTTO FUOCO CUBETTI</t>
  </si>
  <si>
    <t>VALIDO HYGIENE MANI 1 LT.</t>
  </si>
  <si>
    <t>CALESINI/TORRE</t>
  </si>
  <si>
    <t>VERNEL AMMORBIDENTE 3 LT.</t>
  </si>
  <si>
    <t>MAURYS STRACCI PAVIMENTI 40X60 3PZ</t>
  </si>
  <si>
    <t>VIRUXYL GEL MANI IGIENIZZANTE 5 LT.</t>
  </si>
  <si>
    <t>TORRE X AUTO</t>
  </si>
  <si>
    <t>ACIDO TAMP. 10 LT</t>
  </si>
  <si>
    <t>ACE CANDEGGINA 2,5 LT</t>
  </si>
  <si>
    <t>VERT CAPI DELICATI BEBÉ BIO **</t>
  </si>
  <si>
    <t>FIOCCO MOCIO</t>
  </si>
  <si>
    <t>MAURYS</t>
  </si>
  <si>
    <t>DOVE DEODORANTE ADVANCED CARE CUCUMBER</t>
  </si>
  <si>
    <t>PETROLIO BIANCO RAFFINATO 1 LT</t>
  </si>
  <si>
    <t>OLIO PER LAMPADE E TORCE 1 LT</t>
  </si>
  <si>
    <t>NAPISAN CURA LAVATRICE LIQUIDO 250ML</t>
  </si>
  <si>
    <t>NAPISAN CURA LAVATRICE POLVERE 500ML</t>
  </si>
  <si>
    <t>NAPISAN CURA LAVATRICE POLVERE 250ML</t>
  </si>
  <si>
    <t>AMMORBIDENTE FABULOSO</t>
  </si>
  <si>
    <t>CARTA IGIENICA TEMPO 8PZ</t>
  </si>
  <si>
    <t>CUKI SACCHETTI 20PZ</t>
  </si>
  <si>
    <t>SWIFFER PANNI PAVIMENTO RIC.</t>
  </si>
  <si>
    <t>PALETTA CON MANICO PLASTICA</t>
  </si>
  <si>
    <t>ROTOLONE RISPARMIO CASA</t>
  </si>
  <si>
    <t>AMAZON</t>
  </si>
  <si>
    <t>COOP</t>
  </si>
  <si>
    <t>amaZON</t>
  </si>
  <si>
    <t>maRIANA CASA AU</t>
  </si>
  <si>
    <t>CENCIOTTI PORTINERIA A</t>
  </si>
  <si>
    <t>RICCI F. FREGENE</t>
  </si>
  <si>
    <t>ACCIARI PORTINERIA</t>
  </si>
  <si>
    <t>TORRE X C13</t>
  </si>
  <si>
    <t>F</t>
  </si>
  <si>
    <t>CALIFANO PORTINERIA</t>
  </si>
  <si>
    <t>VICTORIA LAVANDERIA</t>
  </si>
  <si>
    <t>FERRANTI PORTINERIA</t>
  </si>
  <si>
    <t>F. RICCI CANTIERE</t>
  </si>
  <si>
    <t>ACCIARI PORTINERIA A</t>
  </si>
  <si>
    <t>MICHELE CASA AU</t>
  </si>
  <si>
    <t>EUGENIA CASA AU</t>
  </si>
  <si>
    <t>SERPI PORTINERIA A</t>
  </si>
  <si>
    <t>SERGIO MC FREGENE</t>
  </si>
  <si>
    <t xml:space="preserve">PAOLINI SMALTIMENTO </t>
  </si>
  <si>
    <t>SERGIO SCALA B</t>
  </si>
  <si>
    <t>VICTORIA CASA LAVANDERIA</t>
  </si>
  <si>
    <t>VICTORIA CASA UFFICI</t>
  </si>
  <si>
    <t>FERRANTE PORTINERIA</t>
  </si>
  <si>
    <t>AZZURRA STRUTTURE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</si>
</sst>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€-2]\ #,##0.00"/>
    <numFmt numFmtId="165" formatCode="dddd&quot; &quot;d&quot; &quot;mmmm&quot; &quot;yyyy"/>
    <numFmt numFmtId="166" formatCode="dd/mm"/>
    <numFmt numFmtId="167" formatCode="dddd d mmmm yyyy"/>
  </numFmts>
  <fonts count="22">
    <font>
      <sz val="10.0"/>
      <color rgb="FF000000"/>
      <name val="Arial"/>
      <scheme val="minor"/>
    </font>
    <font>
      <sz val="9.0"/>
      <color theme="1"/>
      <name val="Montserrat"/>
    </font>
    <font>
      <color theme="1"/>
      <name val="Montserrat"/>
    </font>
    <font>
      <b/>
      <sz val="9.0"/>
      <color theme="1"/>
      <name val="Montserrat"/>
    </font>
    <font>
      <b/>
      <sz val="21.0"/>
      <color theme="1"/>
      <name val="Montserrat"/>
    </font>
    <font>
      <b/>
      <color theme="1"/>
      <name val="Montserrat"/>
    </font>
    <font>
      <b/>
      <sz val="11.0"/>
      <color theme="1"/>
      <name val="Montserrat"/>
    </font>
    <font>
      <sz val="12.0"/>
      <color theme="1"/>
      <name val="Montserrat"/>
    </font>
    <font>
      <sz val="11.0"/>
      <color theme="1"/>
      <name val="Montserrat"/>
    </font>
    <font>
      <color theme="1"/>
      <name val="Arial"/>
      <scheme val="minor"/>
    </font>
    <font>
      <sz val="9.0"/>
      <color theme="1"/>
      <name val="Arial"/>
      <scheme val="minor"/>
    </font>
    <font>
      <b/>
      <sz val="10.0"/>
      <color theme="1"/>
      <name val="Montserrat"/>
    </font>
    <font>
      <b/>
      <color theme="7"/>
      <name val="Montserrat"/>
    </font>
    <font>
      <b/>
      <color rgb="FF999999"/>
      <name val="Montserrat"/>
    </font>
    <font>
      <b/>
      <i/>
      <sz val="18.0"/>
      <color rgb="FF000000"/>
      <name val="Montserrat"/>
    </font>
    <font>
      <b/>
      <color rgb="FFCC4125"/>
      <name val="Montserrat"/>
    </font>
    <font>
      <sz val="11.0"/>
      <color theme="1"/>
      <name val="Arial"/>
      <scheme val="minor"/>
    </font>
    <font>
      <b/>
      <color rgb="FF999999"/>
      <name val="Arial"/>
      <scheme val="minor"/>
    </font>
    <font>
      <sz val="12.0"/>
      <color theme="1"/>
      <name val="Arial"/>
      <scheme val="minor"/>
    </font>
    <font>
      <b/>
      <color rgb="FFCC4125"/>
      <name val="Arial"/>
      <scheme val="minor"/>
    </font>
    <font>
      <b/>
      <color theme="1"/>
      <name val="Arial"/>
      <scheme val="minor"/>
    </font>
    <font>
      <b/>
      <sz val="9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</fills>
  <borders count="9">
    <border/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2" fontId="4" numFmtId="0" xfId="0" applyFill="1" applyFont="1"/>
    <xf borderId="0" fillId="0" fontId="5" numFmtId="0" xfId="0" applyAlignment="1" applyFont="1">
      <alignment horizontal="center" vertical="center"/>
    </xf>
    <xf borderId="0" fillId="2" fontId="6" numFmtId="0" xfId="0" applyAlignment="1" applyFill="1" applyFont="1">
      <alignment readingOrder="0"/>
    </xf>
    <xf borderId="0" fillId="2" fontId="2" numFmtId="0" xfId="0" applyAlignment="1" applyFill="1" applyFont="1">
      <alignment horizontal="center"/>
    </xf>
    <xf borderId="0" fillId="0" fontId="7" numFmtId="164" xfId="0" applyAlignment="1" applyFont="1" applyNumberFormat="1">
      <alignment horizontal="right"/>
    </xf>
    <xf borderId="0" fillId="0" fontId="2" numFmtId="0" xfId="0" applyFont="1"/>
    <xf borderId="0" fillId="0" fontId="8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10" numFmtId="0" xfId="0" applyFont="1"/>
    <xf borderId="0" fillId="0" fontId="5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1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vertical="center" wrapText="0"/>
    </xf>
    <xf borderId="1" fillId="0" fontId="8" numFmtId="0" xfId="0" applyAlignment="1" applyBorder="1" applyFont="1">
      <alignment readingOrder="0"/>
    </xf>
    <xf borderId="2" fillId="0" fontId="2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horizontal="left" readingOrder="0" shrinkToFit="0" vertical="center" wrapText="0"/>
    </xf>
    <xf borderId="3" fillId="0" fontId="12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 shrinkToFit="0" vertical="center" wrapText="0"/>
    </xf>
    <xf borderId="5" fillId="0" fontId="13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 shrinkToFit="0" vertical="center" wrapText="0"/>
    </xf>
    <xf borderId="6" fillId="0" fontId="1" numFmtId="165" xfId="0" applyAlignment="1" applyBorder="1" applyFont="1" applyNumberFormat="1">
      <alignment horizontal="center" readingOrder="0" shrinkToFit="0" vertical="center" wrapText="0"/>
    </xf>
    <xf borderId="0" fillId="3" fontId="14" numFmtId="4" xfId="0" applyAlignment="1" applyFill="1" applyFont="1" applyNumberFormat="1">
      <alignment horizontal="center"/>
    </xf>
    <xf borderId="7" fillId="0" fontId="8" numFmtId="0" xfId="0" applyAlignment="1" applyBorder="1" applyFont="1">
      <alignment readingOrder="0"/>
    </xf>
    <xf borderId="0" fillId="0" fontId="12" numFmtId="0" xfId="0" applyAlignment="1" applyFont="1">
      <alignment horizontal="center" readingOrder="0"/>
    </xf>
    <xf borderId="4" fillId="0" fontId="13" numFmtId="0" xfId="0" applyAlignment="1" applyBorder="1" applyFont="1">
      <alignment horizontal="center" readingOrder="0"/>
    </xf>
    <xf borderId="0" fillId="0" fontId="7" numFmtId="164" xfId="0" applyAlignment="1" applyFont="1" applyNumberFormat="1">
      <alignment horizontal="right" readingOrder="0"/>
    </xf>
    <xf borderId="0" fillId="0" fontId="2" numFmtId="4" xfId="0" applyFont="1" applyNumberFormat="1"/>
    <xf borderId="4" fillId="0" fontId="15" numFmtId="0" xfId="0" applyAlignment="1" applyBorder="1" applyFont="1">
      <alignment horizontal="center" readingOrder="0" shrinkToFit="0" vertical="center" wrapText="0"/>
    </xf>
    <xf borderId="6" fillId="0" fontId="12" numFmtId="0" xfId="0" applyAlignment="1" applyBorder="1" applyFont="1">
      <alignment horizontal="center" shrinkToFit="0" vertical="center" wrapText="0"/>
    </xf>
    <xf borderId="6" fillId="0" fontId="5" numFmtId="0" xfId="0" applyAlignment="1" applyBorder="1" applyFont="1">
      <alignment horizontal="center" readingOrder="0" shrinkToFit="0" vertical="center" wrapText="0"/>
    </xf>
    <xf borderId="6" fillId="0" fontId="2" numFmtId="166" xfId="0" applyAlignment="1" applyBorder="1" applyFont="1" applyNumberFormat="1">
      <alignment horizontal="center"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0" fillId="0" fontId="2" numFmtId="4" xfId="0" applyAlignment="1" applyFont="1" applyNumberFormat="1">
      <alignment readingOrder="0"/>
    </xf>
    <xf borderId="8" fillId="0" fontId="2" numFmtId="0" xfId="0" applyAlignment="1" applyBorder="1" applyFont="1">
      <alignment readingOrder="0" vertical="center"/>
    </xf>
    <xf borderId="4" fillId="0" fontId="15" numFmtId="0" xfId="0" applyAlignment="1" applyBorder="1" applyFont="1">
      <alignment horizontal="center" readingOrder="0" vertical="center"/>
    </xf>
    <xf borderId="6" fillId="0" fontId="12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readingOrder="0" vertical="center"/>
    </xf>
    <xf borderId="6" fillId="0" fontId="2" numFmtId="166" xfId="0" applyAlignment="1" applyBorder="1" applyFont="1" applyNumberFormat="1">
      <alignment horizontal="center" readingOrder="0" vertical="center"/>
    </xf>
    <xf borderId="2" fillId="0" fontId="2" numFmtId="0" xfId="0" applyAlignment="1" applyBorder="1" applyFont="1">
      <alignment readingOrder="0" vertical="center"/>
    </xf>
    <xf borderId="6" fillId="0" fontId="2" numFmtId="165" xfId="0" applyAlignment="1" applyBorder="1" applyFont="1" applyNumberFormat="1">
      <alignment horizontal="center" readingOrder="0" vertical="center"/>
    </xf>
    <xf borderId="4" fillId="0" fontId="13" numFmtId="0" xfId="0" applyAlignment="1" applyBorder="1" applyFont="1">
      <alignment horizontal="center"/>
    </xf>
    <xf borderId="6" fillId="0" fontId="1" numFmtId="165" xfId="0" applyAlignment="1" applyBorder="1" applyFont="1" applyNumberFormat="1">
      <alignment horizontal="center" readingOrder="0" vertical="center"/>
    </xf>
    <xf borderId="7" fillId="0" fontId="16" numFmtId="0" xfId="0" applyAlignment="1" applyBorder="1" applyFont="1">
      <alignment readingOrder="0"/>
    </xf>
    <xf borderId="4" fillId="0" fontId="17" numFmtId="0" xfId="0" applyAlignment="1" applyBorder="1" applyFont="1">
      <alignment horizontal="center" readingOrder="0"/>
    </xf>
    <xf borderId="0" fillId="0" fontId="18" numFmtId="164" xfId="0" applyAlignment="1" applyFont="1" applyNumberFormat="1">
      <alignment horizontal="right"/>
    </xf>
    <xf borderId="4" fillId="0" fontId="17" numFmtId="0" xfId="0" applyAlignment="1" applyBorder="1" applyFont="1">
      <alignment horizontal="center"/>
    </xf>
    <xf borderId="0" fillId="0" fontId="18" numFmtId="164" xfId="0" applyAlignment="1" applyFont="1" applyNumberFormat="1">
      <alignment horizontal="right" readingOrder="0"/>
    </xf>
    <xf borderId="0" fillId="0" fontId="9" numFmtId="0" xfId="0" applyAlignment="1" applyFont="1">
      <alignment vertical="center"/>
    </xf>
    <xf borderId="2" fillId="0" fontId="9" numFmtId="0" xfId="0" applyAlignment="1" applyBorder="1" applyFont="1">
      <alignment readingOrder="0" vertical="center"/>
    </xf>
    <xf borderId="4" fillId="0" fontId="19" numFmtId="0" xfId="0" applyAlignment="1" applyBorder="1" applyFont="1">
      <alignment horizontal="center" readingOrder="0" vertical="center"/>
    </xf>
    <xf borderId="6" fillId="0" fontId="20" numFmtId="0" xfId="0" applyAlignment="1" applyBorder="1" applyFont="1">
      <alignment horizontal="center" readingOrder="0" vertical="center"/>
    </xf>
    <xf borderId="7" fillId="0" fontId="16" numFmtId="0" xfId="0" applyBorder="1" applyFont="1"/>
    <xf borderId="2" fillId="0" fontId="21" numFmtId="0" xfId="0" applyBorder="1" applyFont="1"/>
    <xf borderId="4" fillId="0" fontId="10" numFmtId="0" xfId="0" applyBorder="1" applyFont="1"/>
    <xf borderId="6" fillId="0" fontId="10" numFmtId="0" xfId="0" applyBorder="1" applyFont="1"/>
    <xf borderId="0" fillId="0" fontId="9" numFmtId="4" xfId="0" applyFont="1" applyNumberFormat="1"/>
    <xf borderId="0" fillId="0" fontId="9" numFmtId="0" xfId="0" applyAlignment="1" applyFont="1">
      <alignment readingOrder="0" vertical="center"/>
    </xf>
    <xf borderId="6" fillId="0" fontId="9" numFmtId="167" xfId="0" applyAlignment="1" applyBorder="1" applyFont="1" applyNumberFormat="1">
      <alignment horizontal="center" readingOrder="0" vertical="center"/>
    </xf>
    <xf borderId="4" fillId="0" fontId="19" numFmtId="0" xfId="0" applyAlignment="1" applyBorder="1" applyFont="1">
      <alignment horizontal="center" vertical="center"/>
    </xf>
    <xf borderId="2" fillId="0" fontId="9" numFmtId="0" xfId="0" applyAlignment="1" applyBorder="1" applyFont="1">
      <alignment vertical="center"/>
    </xf>
    <xf borderId="6" fillId="0" fontId="20" numFmtId="0" xfId="0" applyAlignment="1" applyBorder="1" applyFont="1">
      <alignment horizontal="center" vertical="center"/>
    </xf>
    <xf borderId="6" fillId="0" fontId="9" numFmtId="0" xfId="0" applyAlignment="1" applyBorder="1" applyFont="1">
      <alignment horizontal="center" vertical="center"/>
    </xf>
    <xf borderId="0" fillId="0" fontId="16" numFmtId="0" xfId="0" applyFont="1"/>
    <xf borderId="0" fillId="0" fontId="17" numFmtId="0" xfId="0" applyAlignment="1" applyFont="1">
      <alignment horizontal="center"/>
    </xf>
    <xf borderId="6" fillId="0" fontId="12" numFmtId="0" xfId="0" applyAlignment="1" applyBorder="1" applyFont="1">
      <alignment horizontal="center" vertical="center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FFFFFF"/>
      </font>
      <fill>
        <patternFill patternType="solid">
          <fgColor rgb="FFEA4335"/>
          <bgColor rgb="FFEA4335"/>
        </patternFill>
      </fill>
      <border/>
    </dxf>
    <dxf>
      <font>
        <color rgb="FFFFFFFF"/>
      </font>
      <fill>
        <patternFill patternType="solid">
          <fgColor rgb="FF34A853"/>
          <bgColor rgb="FF34A85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  <tableStyles count="3">
    <tableStyle count="4" pivot="0" name="Caric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gazzin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aric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F3" displayName="Tabella_1" name="Tabella_1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gazzin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2:F18" displayName="Tabella_2" name="Tabella_2" id="2">
  <tableColumns count="6">
    <tableColumn name="Colonna 1" id="1"/>
    <tableColumn name="PRODOTTI SCARICO" id="2"/>
    <tableColumn name="PEZZI SCARICATI" id="3"/>
    <tableColumn name="PRODOTTI IN  GIACENZA" id="4"/>
    <tableColumn name="DESTINAZIONE" id="5"/>
    <tableColumn name="DATA" id="6"/>
  </tableColumns>
  <tableStyleInfo name="Scarico-style" showColumnStripes="0" showFirstColumn="1" showLastColumn="1" showRowStripes="1"/>
</table>
</file>

<file path=xl/tables/table3.xml><?xml version="1.0" encoding="utf-8"?>
<table xmlns="http://schemas.openxmlformats.org/spreadsheetml/2006/main" ref="A2:E346" displayName="Tabella_3" name="Tabella_3" id="1">
  <tableColumns count="5">
    <tableColumn name="Colonna 1" id="1"/>
    <tableColumn name="PRODOTTI - CARICO MERCI" id="2"/>
    <tableColumn name="QUANTITÁ" id="3"/>
    <tableColumn name="FORNITORE" id="4"/>
    <tableColumn name="DATA" id="5"/>
  </tableColumns>
  <tableStyleInfo name="Caric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.0"/>
    <col customWidth="1" min="2" max="2" width="66.0"/>
    <col customWidth="1" min="3" max="3" width="27.0"/>
    <col customWidth="1" hidden="1" min="4" max="4" width="22.63"/>
    <col customWidth="1" min="5" max="5" width="12.63"/>
    <col customWidth="1" min="6" max="6" width="24.75"/>
  </cols>
  <sheetData>
    <row r="1" ht="15.75" customHeight="1">
      <c r="A1" s="5"/>
      <c r="B1" s="7"/>
      <c r="C1" s="8"/>
      <c r="D1" s="8"/>
      <c r="E1" s="9"/>
      <c r="F1" s="10"/>
    </row>
    <row r="2" ht="15.75" customHeight="1">
      <c r="A2" s="10"/>
      <c r="B2" s="11"/>
      <c r="C2" s="12"/>
      <c r="D2" s="12"/>
      <c r="E2" s="9"/>
      <c r="F2" s="10"/>
    </row>
    <row r="3" ht="15.75" customHeight="1">
      <c r="A3" s="16" t="s">
        <v>0</v>
      </c>
      <c r="B3" s="17" t="s">
        <v>5</v>
      </c>
      <c r="C3" s="20" t="s">
        <v>8</v>
      </c>
      <c r="D3" s="20" t="s">
        <v>10</v>
      </c>
      <c r="E3" s="22" t="s">
        <v>12</v>
      </c>
      <c r="F3" s="24" t="s">
        <v>13</v>
      </c>
    </row>
    <row r="4" ht="15.75" customHeight="1">
      <c r="A4" s="25"/>
      <c r="B4" s="27" t="s">
        <v>14</v>
      </c>
      <c r="C4" s="30">
        <f>SUMIF(Carico!$B$3:$B$975,B4,Carico!$C$3:$C$975)-(SUMIF(Scarico!$B$3:$B$997,B4,Scarico!$C$3:$C$997))+$D$4:$D$987</f>
        <v>18</v>
      </c>
      <c r="D4" s="32"/>
      <c r="E4" s="9"/>
      <c r="F4" s="35">
        <f>SUM(F6:F994)</f>
        <v>2598.39</v>
      </c>
    </row>
    <row r="5" ht="15.75" customHeight="1">
      <c r="A5" s="25"/>
      <c r="B5" s="36" t="s">
        <v>19</v>
      </c>
      <c r="C5" s="37">
        <f>SUMIF(Carico!$B$3:$B$975,B5,Carico!$C$3:$C$975)-(SUMIF(Scarico!$B$3:$B$997,B5,Scarico!$C$3:$C$997))+$D$4:$D$987</f>
        <v>3</v>
      </c>
      <c r="D5" s="38"/>
      <c r="E5" s="39">
        <v>1.29</v>
      </c>
      <c r="F5" s="40">
        <f t="shared" ref="F5:F15" si="1">E5*C5</f>
        <v>3.87</v>
      </c>
    </row>
    <row r="6" ht="15.75" customHeight="1">
      <c r="A6" s="25"/>
      <c r="B6" s="36" t="s">
        <v>22</v>
      </c>
      <c r="C6" s="37">
        <f>SUMIF(Carico!$B$3:$B$975,B6,Carico!$C$3:$C$975)-(SUMIF(Scarico!$B$3:$B$997,B6,Scarico!$C$3:$C$997))+$D$4:$D$987</f>
        <v>5</v>
      </c>
      <c r="D6" s="38"/>
      <c r="E6" s="39">
        <v>1.59</v>
      </c>
      <c r="F6" s="40">
        <f t="shared" si="1"/>
        <v>7.95</v>
      </c>
    </row>
    <row r="7" ht="15.75" customHeight="1">
      <c r="A7" s="25"/>
      <c r="B7" s="36" t="s">
        <v>23</v>
      </c>
      <c r="C7" s="37">
        <f>SUMIF(Carico!$B$3:$B$975,B7,Carico!$C$3:$C$975)-(SUMIF(Scarico!$B$3:$B$997,B7,Scarico!$C$3:$C$997))+$D$4:$D$987</f>
        <v>4</v>
      </c>
      <c r="D7" s="38"/>
      <c r="E7" s="39">
        <v>7.5</v>
      </c>
      <c r="F7" s="40">
        <f t="shared" si="1"/>
        <v>30</v>
      </c>
    </row>
    <row r="8" ht="15.75" customHeight="1">
      <c r="A8" s="25"/>
      <c r="B8" s="36" t="s">
        <v>25</v>
      </c>
      <c r="C8" s="37">
        <f>SUMIF(Carico!$B$3:$B$975,B8,Carico!$C$3:$C$975)-(SUMIF(Scarico!$B$3:$B$997,B8,Scarico!$C$3:$C$997))+$D$4:$D$987</f>
        <v>0</v>
      </c>
      <c r="D8" s="38"/>
      <c r="E8" s="39">
        <v>2.5</v>
      </c>
      <c r="F8" s="40">
        <f t="shared" si="1"/>
        <v>0</v>
      </c>
    </row>
    <row r="9" ht="15.75" customHeight="1">
      <c r="A9" s="25"/>
      <c r="B9" s="36" t="s">
        <v>27</v>
      </c>
      <c r="C9" s="37">
        <f>SUMIF(Carico!$B$3:$B$975,B9,Carico!$C$3:$C$975)-(SUMIF(Scarico!$B$3:$B$997,B9,Scarico!$C$3:$C$997))+$D$4:$D$987</f>
        <v>0</v>
      </c>
      <c r="D9" s="38"/>
      <c r="E9" s="9"/>
      <c r="F9" s="40">
        <f t="shared" si="1"/>
        <v>0</v>
      </c>
    </row>
    <row r="10" ht="15.75" customHeight="1">
      <c r="A10" s="25"/>
      <c r="B10" s="36" t="s">
        <v>30</v>
      </c>
      <c r="C10" s="37">
        <f>SUMIF(Carico!$B$3:$B$975,B10,Carico!$C$3:$C$975)-(SUMIF(Scarico!$B$3:$B$997,B10,Scarico!$C$3:$C$997))+$D$4:$D$987</f>
        <v>2</v>
      </c>
      <c r="D10" s="38"/>
      <c r="E10" s="39">
        <v>17.0</v>
      </c>
      <c r="F10" s="40">
        <f t="shared" si="1"/>
        <v>34</v>
      </c>
    </row>
    <row r="11" ht="15.75" customHeight="1">
      <c r="A11" s="25"/>
      <c r="B11" s="36" t="s">
        <v>31</v>
      </c>
      <c r="C11" s="37">
        <f>SUMIF(Carico!$B$3:$B$975,B11,Carico!$C$3:$C$975)-(SUMIF(Scarico!$B$3:$B$997,B11,Scarico!$C$3:$C$997))+$D$4:$D$987</f>
        <v>5</v>
      </c>
      <c r="D11" s="38"/>
      <c r="E11" s="9"/>
      <c r="F11" s="40">
        <f t="shared" si="1"/>
        <v>0</v>
      </c>
    </row>
    <row r="12" ht="15.75" customHeight="1">
      <c r="A12" s="25"/>
      <c r="B12" s="36" t="s">
        <v>34</v>
      </c>
      <c r="C12" s="37">
        <f>SUMIF(Carico!$B$3:$B$975,B12,Carico!$C$3:$C$975)-(SUMIF(Scarico!$B$3:$B$997,B12,Scarico!$C$3:$C$997))+$D$4:$D$987</f>
        <v>0</v>
      </c>
      <c r="D12" s="38"/>
      <c r="E12" s="9"/>
      <c r="F12" s="40">
        <f t="shared" si="1"/>
        <v>0</v>
      </c>
    </row>
    <row r="13" ht="15.75" customHeight="1">
      <c r="A13" s="25"/>
      <c r="B13" s="36" t="s">
        <v>35</v>
      </c>
      <c r="C13" s="37">
        <f>SUMIF(Carico!$B$3:$B$975,B13,Carico!$C$3:$C$975)-(SUMIF(Scarico!$B$3:$B$997,B13,Scarico!$C$3:$C$997))+$D$4:$D$987</f>
        <v>0</v>
      </c>
      <c r="D13" s="38"/>
      <c r="E13" s="9"/>
      <c r="F13" s="40">
        <f t="shared" si="1"/>
        <v>0</v>
      </c>
    </row>
    <row r="14" ht="15.75" customHeight="1">
      <c r="A14" s="25"/>
      <c r="B14" s="36" t="s">
        <v>37</v>
      </c>
      <c r="C14" s="37">
        <f>SUMIF(Carico!$B$3:$B$975,B14,Carico!$C$3:$C$975)-(SUMIF(Scarico!$B$3:$B$997,B14,Scarico!$C$3:$C$997))+$D$4:$D$987</f>
        <v>18</v>
      </c>
      <c r="D14" s="38"/>
      <c r="E14" s="39">
        <v>3.5</v>
      </c>
      <c r="F14" s="40">
        <f t="shared" si="1"/>
        <v>63</v>
      </c>
    </row>
    <row r="15" ht="15.75" customHeight="1">
      <c r="A15" s="25"/>
      <c r="B15" s="36" t="s">
        <v>39</v>
      </c>
      <c r="C15" s="37">
        <f>SUMIF(Carico!$B$3:$B$975,B15,Carico!$C$3:$C$975)-(SUMIF(Scarico!$B$3:$B$997,B15,Scarico!$C$3:$C$997))+$D$4:$D$987</f>
        <v>0</v>
      </c>
      <c r="D15" s="38"/>
      <c r="E15" s="9"/>
      <c r="F15" s="40">
        <f t="shared" si="1"/>
        <v>0</v>
      </c>
    </row>
    <row r="16" ht="15.75" customHeight="1">
      <c r="A16" s="25"/>
      <c r="B16" s="36" t="s">
        <v>41</v>
      </c>
      <c r="C16" s="37">
        <f>SUMIF(Carico!$B$3:$B$975,B16,Carico!$C$3:$C$975)-(SUMIF(Scarico!$B$3:$B$997,B16,Scarico!$C$3:$C$997))+$D$4:$D$987</f>
        <v>5</v>
      </c>
      <c r="D16" s="38"/>
      <c r="E16" s="39">
        <v>2.0</v>
      </c>
      <c r="F16" s="46">
        <v>2.59</v>
      </c>
    </row>
    <row r="17" ht="15.75" customHeight="1">
      <c r="A17" s="25"/>
      <c r="B17" s="36" t="s">
        <v>43</v>
      </c>
      <c r="C17" s="37">
        <f>SUMIF(Carico!$B$3:$B$975,B17,Carico!$C$3:$C$975)-(SUMIF(Scarico!$B$3:$B$997,B17,Scarico!$C$3:$C$997))+$D$4:$D$987</f>
        <v>4</v>
      </c>
      <c r="D17" s="38"/>
      <c r="E17" s="39">
        <v>30.0</v>
      </c>
      <c r="F17" s="40">
        <f t="shared" ref="F17:F99" si="2">E17*C17</f>
        <v>120</v>
      </c>
    </row>
    <row r="18" ht="15.75" customHeight="1">
      <c r="A18" s="25"/>
      <c r="B18" s="36" t="s">
        <v>46</v>
      </c>
      <c r="C18" s="37">
        <f>SUMIF(Carico!$B$3:$B$975,B18,Carico!$C$3:$C$975)-(SUMIF(Scarico!$B$3:$B$997,B18,Scarico!$C$3:$C$997))+$D$4:$D$987</f>
        <v>0</v>
      </c>
      <c r="D18" s="38"/>
      <c r="E18" s="9"/>
      <c r="F18" s="40">
        <f t="shared" si="2"/>
        <v>0</v>
      </c>
    </row>
    <row r="19" ht="15.75" customHeight="1">
      <c r="A19" s="25"/>
      <c r="B19" s="36" t="s">
        <v>48</v>
      </c>
      <c r="C19" s="37">
        <f>SUMIF(Carico!$B$3:$B$975,B19,Carico!$C$3:$C$975)-(SUMIF(Scarico!$B$3:$B$997,B19,Scarico!$C$3:$C$997))+$D$4:$D$987</f>
        <v>0</v>
      </c>
      <c r="D19" s="38"/>
      <c r="E19" s="9"/>
      <c r="F19" s="40">
        <f t="shared" si="2"/>
        <v>0</v>
      </c>
    </row>
    <row r="20" ht="15.75" customHeight="1">
      <c r="A20" s="25"/>
      <c r="B20" s="36" t="s">
        <v>50</v>
      </c>
      <c r="C20" s="37">
        <f>SUMIF(Carico!$B$3:$B$975,B20,Carico!$C$3:$C$975)-(SUMIF(Scarico!$B$3:$B$997,B20,Scarico!$C$3:$C$997))+$D$4:$D$987</f>
        <v>13</v>
      </c>
      <c r="D20" s="38"/>
      <c r="E20" s="9"/>
      <c r="F20" s="40">
        <f t="shared" si="2"/>
        <v>0</v>
      </c>
    </row>
    <row r="21" ht="15.75" customHeight="1">
      <c r="A21" s="25"/>
      <c r="B21" s="36" t="s">
        <v>42</v>
      </c>
      <c r="C21" s="37">
        <f>SUMIF(Carico!$B$3:$B$975,B21,Carico!$C$3:$C$975)-(SUMIF(Scarico!$B$3:$B$997,B21,Scarico!$C$3:$C$997))+$D$4:$D$987</f>
        <v>1</v>
      </c>
      <c r="D21" s="38"/>
      <c r="E21" s="39">
        <v>2.88</v>
      </c>
      <c r="F21" s="40">
        <f t="shared" si="2"/>
        <v>2.88</v>
      </c>
    </row>
    <row r="22" ht="15.75" customHeight="1">
      <c r="A22" s="25"/>
      <c r="B22" s="36" t="s">
        <v>53</v>
      </c>
      <c r="C22" s="37">
        <f>SUMIF(Carico!$B$3:$B$975,B22,Carico!$C$3:$C$975)-(SUMIF(Scarico!$B$3:$B$997,B22,Scarico!$C$3:$C$997))+$D$4:$D$987</f>
        <v>24</v>
      </c>
      <c r="D22" s="38"/>
      <c r="E22" s="39">
        <v>5.9</v>
      </c>
      <c r="F22" s="40">
        <f t="shared" si="2"/>
        <v>141.6</v>
      </c>
    </row>
    <row r="23" ht="15.75" customHeight="1">
      <c r="A23" s="25"/>
      <c r="B23" s="36" t="s">
        <v>55</v>
      </c>
      <c r="C23" s="37">
        <f>SUMIF(Carico!$B$3:$B$975,B23,Carico!$C$3:$C$975)-(SUMIF(Scarico!$B$3:$B$997,B23,Scarico!$C$3:$C$997))+$D$4:$D$987</f>
        <v>0</v>
      </c>
      <c r="D23" s="38"/>
      <c r="E23" s="9"/>
      <c r="F23" s="40">
        <f t="shared" si="2"/>
        <v>0</v>
      </c>
    </row>
    <row r="24" ht="15.75" customHeight="1">
      <c r="A24" s="25"/>
      <c r="B24" s="36" t="s">
        <v>57</v>
      </c>
      <c r="C24" s="37">
        <f>SUMIF(Carico!$B$3:$B$975,B24,Carico!$C$3:$C$975)-(SUMIF(Scarico!$B$3:$B$997,B24,Scarico!$C$3:$C$997))+$D$4:$D$987</f>
        <v>10</v>
      </c>
      <c r="D24" s="38"/>
      <c r="E24" s="9"/>
      <c r="F24" s="40">
        <f t="shared" si="2"/>
        <v>0</v>
      </c>
    </row>
    <row r="25" ht="15.75" customHeight="1">
      <c r="A25" s="25"/>
      <c r="B25" s="36" t="s">
        <v>58</v>
      </c>
      <c r="C25" s="37">
        <f>SUMIF(Carico!$B$3:$B$975,B25,Carico!$C$3:$C$975)-(SUMIF(Scarico!$B$3:$B$997,B25,Scarico!$C$3:$C$997))+$D$4:$D$987</f>
        <v>0</v>
      </c>
      <c r="D25" s="38"/>
      <c r="E25" s="9"/>
      <c r="F25" s="40">
        <f t="shared" si="2"/>
        <v>0</v>
      </c>
    </row>
    <row r="26" ht="15.75" customHeight="1">
      <c r="A26" s="25"/>
      <c r="B26" s="36" t="s">
        <v>61</v>
      </c>
      <c r="C26" s="37">
        <f>SUMIF(Carico!$B$3:$B$975,B26,Carico!$C$3:$C$975)-(SUMIF(Scarico!$B$3:$B$997,B26,Scarico!$C$3:$C$997))+$D$4:$D$987</f>
        <v>2</v>
      </c>
      <c r="D26" s="38"/>
      <c r="E26" s="9"/>
      <c r="F26" s="40">
        <f t="shared" si="2"/>
        <v>0</v>
      </c>
    </row>
    <row r="27" ht="15.75" customHeight="1">
      <c r="A27" s="25"/>
      <c r="B27" s="36" t="s">
        <v>62</v>
      </c>
      <c r="C27" s="37">
        <f>SUMIF(Carico!$B$3:$B$975,B27,Carico!$C$3:$C$975)-(SUMIF(Scarico!$B$3:$B$997,B27,Scarico!$C$3:$C$997))+$D$4:$D$987</f>
        <v>5</v>
      </c>
      <c r="D27" s="38"/>
      <c r="E27" s="9"/>
      <c r="F27" s="40">
        <f t="shared" si="2"/>
        <v>0</v>
      </c>
    </row>
    <row r="28" ht="15.75" customHeight="1">
      <c r="A28" s="25"/>
      <c r="B28" s="36" t="s">
        <v>63</v>
      </c>
      <c r="C28" s="37">
        <f>SUMIF(Carico!$B$3:$B$975,B28,Carico!$C$3:$C$975)-(SUMIF(Scarico!$B$3:$B$997,B28,Scarico!$C$3:$C$997))+$D$4:$D$987</f>
        <v>2</v>
      </c>
      <c r="D28" s="38"/>
      <c r="E28" s="9"/>
      <c r="F28" s="40">
        <f t="shared" si="2"/>
        <v>0</v>
      </c>
    </row>
    <row r="29" ht="15.75" customHeight="1">
      <c r="A29" s="25"/>
      <c r="B29" s="36" t="s">
        <v>65</v>
      </c>
      <c r="C29" s="37">
        <f>SUMIF(Carico!$B$3:$B$975,B29,Carico!$C$3:$C$975)-(SUMIF(Scarico!$B$3:$B$997,B29,Scarico!$C$3:$C$997))+$D$4:$D$987</f>
        <v>0</v>
      </c>
      <c r="D29" s="38"/>
      <c r="E29" s="9"/>
      <c r="F29" s="40">
        <f t="shared" si="2"/>
        <v>0</v>
      </c>
    </row>
    <row r="30" ht="15.75" customHeight="1">
      <c r="A30" s="25"/>
      <c r="B30" s="36" t="s">
        <v>67</v>
      </c>
      <c r="C30" s="37">
        <f>SUMIF(Carico!$B$3:$B$975,B30,Carico!$C$3:$C$975)-(SUMIF(Scarico!$B$3:$B$997,B30,Scarico!$C$3:$C$997))+$D$4:$D$987</f>
        <v>10</v>
      </c>
      <c r="D30" s="38"/>
      <c r="E30" s="9"/>
      <c r="F30" s="40">
        <f t="shared" si="2"/>
        <v>0</v>
      </c>
    </row>
    <row r="31" ht="15.75" customHeight="1">
      <c r="A31" s="25"/>
      <c r="B31" s="36" t="s">
        <v>28</v>
      </c>
      <c r="C31" s="37">
        <f>SUMIF(Carico!$B$3:$B$975,B31,Carico!$C$3:$C$975)-(SUMIF(Scarico!$B$3:$B$997,B31,Scarico!$C$3:$C$997))+$D$4:$D$987</f>
        <v>40</v>
      </c>
      <c r="D31" s="38"/>
      <c r="E31" s="39">
        <v>2.39</v>
      </c>
      <c r="F31" s="40">
        <f t="shared" si="2"/>
        <v>95.6</v>
      </c>
    </row>
    <row r="32" ht="15.75" customHeight="1">
      <c r="A32" s="25"/>
      <c r="B32" s="36" t="s">
        <v>69</v>
      </c>
      <c r="C32" s="37">
        <f>SUMIF(Carico!$B$3:$B$975,B32,Carico!$C$3:$C$975)-(SUMIF(Scarico!$B$3:$B$997,B32,Scarico!$C$3:$C$997))+$D$4:$D$987</f>
        <v>0</v>
      </c>
      <c r="D32" s="38"/>
      <c r="E32" s="9"/>
      <c r="F32" s="40">
        <f t="shared" si="2"/>
        <v>0</v>
      </c>
    </row>
    <row r="33" ht="15.75" customHeight="1">
      <c r="A33" s="25"/>
      <c r="B33" s="36" t="s">
        <v>70</v>
      </c>
      <c r="C33" s="37">
        <f>SUMIF(Carico!$B$3:$B$975,B33,Carico!$C$3:$C$975)-(SUMIF(Scarico!$B$3:$B$997,B33,Scarico!$C$3:$C$997))+$D$4:$D$987</f>
        <v>7</v>
      </c>
      <c r="D33" s="38"/>
      <c r="E33" s="39">
        <v>5.5</v>
      </c>
      <c r="F33" s="40">
        <f t="shared" si="2"/>
        <v>38.5</v>
      </c>
    </row>
    <row r="34" ht="15.75" customHeight="1">
      <c r="A34" s="25"/>
      <c r="B34" s="36" t="s">
        <v>71</v>
      </c>
      <c r="C34" s="37">
        <f>SUMIF(Carico!$B$3:$B$975,B34,Carico!$C$3:$C$975)-(SUMIF(Scarico!$B$3:$B$997,B34,Scarico!$C$3:$C$997))+$D$4:$D$987</f>
        <v>0</v>
      </c>
      <c r="D34" s="38"/>
      <c r="E34" s="39">
        <v>2.0</v>
      </c>
      <c r="F34" s="40">
        <f t="shared" si="2"/>
        <v>0</v>
      </c>
    </row>
    <row r="35" ht="15.75" customHeight="1">
      <c r="A35" s="25"/>
      <c r="B35" s="36" t="s">
        <v>73</v>
      </c>
      <c r="C35" s="37">
        <f>SUMIF(Carico!$B$3:$B$975,B35,Carico!$C$3:$C$975)-(SUMIF(Scarico!$B$3:$B$997,B35,Scarico!$C$3:$C$997))+$D$4:$D$987</f>
        <v>9</v>
      </c>
      <c r="D35" s="38"/>
      <c r="E35" s="39">
        <v>2.5</v>
      </c>
      <c r="F35" s="40">
        <f t="shared" si="2"/>
        <v>22.5</v>
      </c>
    </row>
    <row r="36" ht="15.75" customHeight="1">
      <c r="A36" s="25"/>
      <c r="B36" s="36" t="s">
        <v>74</v>
      </c>
      <c r="C36" s="37">
        <f>SUMIF(Carico!$B$3:$B$975,B36,Carico!$C$3:$C$975)-(SUMIF(Scarico!$B$3:$B$997,B36,Scarico!$C$3:$C$997))+$D$4:$D$987</f>
        <v>1</v>
      </c>
      <c r="D36" s="38"/>
      <c r="E36" s="9"/>
      <c r="F36" s="40">
        <f t="shared" si="2"/>
        <v>0</v>
      </c>
    </row>
    <row r="37" ht="15.75" customHeight="1">
      <c r="A37" s="25"/>
      <c r="B37" s="36" t="s">
        <v>75</v>
      </c>
      <c r="C37" s="37">
        <f>SUMIF(Carico!$B$3:$B$975,B37,Carico!$C$3:$C$975)-(SUMIF(Scarico!$B$3:$B$997,B37,Scarico!$C$3:$C$997))+$D$4:$D$987</f>
        <v>8</v>
      </c>
      <c r="D37" s="38"/>
      <c r="E37" s="39">
        <v>7.99</v>
      </c>
      <c r="F37" s="40">
        <f t="shared" si="2"/>
        <v>63.92</v>
      </c>
    </row>
    <row r="38" ht="15.75" customHeight="1">
      <c r="A38" s="25"/>
      <c r="B38" s="36" t="s">
        <v>76</v>
      </c>
      <c r="C38" s="37">
        <f>SUMIF(Carico!$B$3:$B$975,B38,Carico!$C$3:$C$975)-(SUMIF(Scarico!$B$3:$B$997,B38,Scarico!$C$3:$C$997))+$D$4:$D$987</f>
        <v>0</v>
      </c>
      <c r="D38" s="38"/>
      <c r="E38" s="9"/>
      <c r="F38" s="40">
        <f t="shared" si="2"/>
        <v>0</v>
      </c>
    </row>
    <row r="39" ht="15.75" customHeight="1">
      <c r="A39" s="25"/>
      <c r="B39" s="36" t="s">
        <v>78</v>
      </c>
      <c r="C39" s="37">
        <f>SUMIF(Carico!$B$3:$B$975,B39,Carico!$C$3:$C$975)-(SUMIF(Scarico!$B$3:$B$997,B39,Scarico!$C$3:$C$997))+$D$4:$D$987</f>
        <v>8</v>
      </c>
      <c r="D39" s="38"/>
      <c r="E39" s="39">
        <v>2.99</v>
      </c>
      <c r="F39" s="40">
        <f t="shared" si="2"/>
        <v>23.92</v>
      </c>
    </row>
    <row r="40" ht="15.75" customHeight="1">
      <c r="A40" s="25"/>
      <c r="B40" s="36" t="s">
        <v>80</v>
      </c>
      <c r="C40" s="37">
        <f>SUMIF(Carico!$B$3:$B$975,B40,Carico!$C$3:$C$975)-(SUMIF(Scarico!$B$3:$B$997,B40,Scarico!$C$3:$C$997))+$D$4:$D$987</f>
        <v>9</v>
      </c>
      <c r="D40" s="38"/>
      <c r="E40" s="39">
        <v>3.59</v>
      </c>
      <c r="F40" s="40">
        <f t="shared" si="2"/>
        <v>32.31</v>
      </c>
    </row>
    <row r="41" ht="15.75" customHeight="1">
      <c r="A41" s="25"/>
      <c r="B41" s="36" t="s">
        <v>81</v>
      </c>
      <c r="C41" s="37">
        <f>SUMIF(Carico!$B$3:$B$975,B41,Carico!$C$3:$C$975)-(SUMIF(Scarico!$B$3:$B$997,B41,Scarico!$C$3:$C$997))+$D$4:$D$987</f>
        <v>0</v>
      </c>
      <c r="D41" s="38"/>
      <c r="E41" s="39">
        <v>3.69</v>
      </c>
      <c r="F41" s="40">
        <f t="shared" si="2"/>
        <v>0</v>
      </c>
    </row>
    <row r="42" ht="15.75" customHeight="1">
      <c r="A42" s="25"/>
      <c r="B42" s="36" t="s">
        <v>84</v>
      </c>
      <c r="C42" s="37">
        <f>SUMIF(Carico!$B$3:$B$975,B42,Carico!$C$3:$C$975)-(SUMIF(Scarico!$B$3:$B$997,B42,Scarico!$C$3:$C$997))+$D$4:$D$987</f>
        <v>0</v>
      </c>
      <c r="D42" s="38"/>
      <c r="E42" s="9"/>
      <c r="F42" s="40">
        <f t="shared" si="2"/>
        <v>0</v>
      </c>
    </row>
    <row r="43" ht="15.75" customHeight="1">
      <c r="A43" s="25"/>
      <c r="B43" s="36" t="s">
        <v>86</v>
      </c>
      <c r="C43" s="37">
        <f>SUMIF(Carico!$B$3:$B$975,B43,Carico!$C$3:$C$975)-(SUMIF(Scarico!$B$3:$B$997,B43,Scarico!$C$3:$C$997))+$D$4:$D$987</f>
        <v>0</v>
      </c>
      <c r="D43" s="38"/>
      <c r="E43" s="9"/>
      <c r="F43" s="40">
        <f t="shared" si="2"/>
        <v>0</v>
      </c>
    </row>
    <row r="44" ht="15.75" customHeight="1">
      <c r="A44" s="25"/>
      <c r="B44" s="36" t="s">
        <v>88</v>
      </c>
      <c r="C44" s="37">
        <f>SUMIF(Carico!$B$3:$B$975,B44,Carico!$C$3:$C$975)-(SUMIF(Scarico!$B$3:$B$997,B44,Scarico!$C$3:$C$997))+$D$4:$D$987</f>
        <v>3</v>
      </c>
      <c r="D44" s="38"/>
      <c r="E44" s="9"/>
      <c r="F44" s="40">
        <f t="shared" si="2"/>
        <v>0</v>
      </c>
    </row>
    <row r="45" ht="15.75" customHeight="1">
      <c r="A45" s="25"/>
      <c r="B45" s="36" t="s">
        <v>90</v>
      </c>
      <c r="C45" s="37">
        <f>SUMIF(Carico!$B$3:$B$975,B45,Carico!$C$3:$C$975)-(SUMIF(Scarico!$B$3:$B$997,B45,Scarico!$C$3:$C$997))+$D$4:$D$987</f>
        <v>7</v>
      </c>
      <c r="D45" s="38"/>
      <c r="E45" s="9"/>
      <c r="F45" s="40">
        <f t="shared" si="2"/>
        <v>0</v>
      </c>
    </row>
    <row r="46" ht="15.75" customHeight="1">
      <c r="A46" s="25"/>
      <c r="B46" s="36" t="s">
        <v>91</v>
      </c>
      <c r="C46" s="37">
        <f>SUMIF(Carico!$B$3:$B$975,B46,Carico!$C$3:$C$975)-(SUMIF(Scarico!$B$3:$B$997,B46,Scarico!$C$3:$C$997))+$D$4:$D$987</f>
        <v>1</v>
      </c>
      <c r="D46" s="38"/>
      <c r="E46" s="9"/>
      <c r="F46" s="40">
        <f t="shared" si="2"/>
        <v>0</v>
      </c>
    </row>
    <row r="47" ht="15.75" customHeight="1">
      <c r="A47" s="25"/>
      <c r="B47" s="36" t="s">
        <v>93</v>
      </c>
      <c r="C47" s="37">
        <f>SUMIF(Carico!$B$3:$B$975,B47,Carico!$C$3:$C$975)-(SUMIF(Scarico!$B$3:$B$997,B47,Scarico!$C$3:$C$997))+$D$4:$D$987</f>
        <v>0</v>
      </c>
      <c r="D47" s="38"/>
      <c r="E47" s="9"/>
      <c r="F47" s="40">
        <f t="shared" si="2"/>
        <v>0</v>
      </c>
    </row>
    <row r="48" ht="15.75" customHeight="1">
      <c r="A48" s="25"/>
      <c r="B48" s="36" t="s">
        <v>95</v>
      </c>
      <c r="C48" s="37">
        <f>SUMIF(Carico!$B$3:$B$975,B48,Carico!$C$3:$C$975)-(SUMIF(Scarico!$B$3:$B$997,B48,Scarico!$C$3:$C$997))+$D$4:$D$987</f>
        <v>4</v>
      </c>
      <c r="D48" s="38"/>
      <c r="E48" s="9"/>
      <c r="F48" s="40">
        <f t="shared" si="2"/>
        <v>0</v>
      </c>
    </row>
    <row r="49" ht="15.75" customHeight="1">
      <c r="A49" s="25"/>
      <c r="B49" s="36" t="s">
        <v>97</v>
      </c>
      <c r="C49" s="37">
        <f>SUMIF(Carico!$B$3:$B$975,B49,Carico!$C$3:$C$975)-(SUMIF(Scarico!$B$3:$B$997,B49,Scarico!$C$3:$C$997))+$D$4:$D$987</f>
        <v>-2</v>
      </c>
      <c r="D49" s="38"/>
      <c r="E49" s="9"/>
      <c r="F49" s="40">
        <f t="shared" si="2"/>
        <v>0</v>
      </c>
    </row>
    <row r="50" ht="15.75" customHeight="1">
      <c r="A50" s="25"/>
      <c r="B50" s="36" t="s">
        <v>100</v>
      </c>
      <c r="C50" s="37">
        <f>SUMIF(Carico!$B$3:$B$975,B50,Carico!$C$3:$C$975)-(SUMIF(Scarico!$B$3:$B$997,B50,Scarico!$C$3:$C$997))+$D$4:$D$987</f>
        <v>0</v>
      </c>
      <c r="D50" s="38"/>
      <c r="E50" s="9"/>
      <c r="F50" s="40">
        <f t="shared" si="2"/>
        <v>0</v>
      </c>
    </row>
    <row r="51" ht="15.75" customHeight="1">
      <c r="A51" s="25"/>
      <c r="B51" s="36" t="s">
        <v>102</v>
      </c>
      <c r="C51" s="37">
        <f>SUMIF(Carico!$B$3:$B$975,B51,Carico!$C$3:$C$975)-(SUMIF(Scarico!$B$3:$B$997,B51,Scarico!$C$3:$C$997))+$D$4:$D$987</f>
        <v>0</v>
      </c>
      <c r="D51" s="38"/>
      <c r="E51" s="9"/>
      <c r="F51" s="40">
        <f t="shared" si="2"/>
        <v>0</v>
      </c>
    </row>
    <row r="52" ht="15.75" customHeight="1">
      <c r="A52" s="25"/>
      <c r="B52" s="36" t="s">
        <v>103</v>
      </c>
      <c r="C52" s="37">
        <f>SUMIF(Carico!$B$3:$B$975,B52,Carico!$C$3:$C$975)-(SUMIF(Scarico!$B$3:$B$997,B52,Scarico!$C$3:$C$997))+$D$4:$D$987</f>
        <v>0</v>
      </c>
      <c r="D52" s="38"/>
      <c r="E52" s="39">
        <v>2.79</v>
      </c>
      <c r="F52" s="40">
        <f t="shared" si="2"/>
        <v>0</v>
      </c>
    </row>
    <row r="53" ht="15.75" customHeight="1">
      <c r="A53" s="25"/>
      <c r="B53" s="36" t="s">
        <v>105</v>
      </c>
      <c r="C53" s="37">
        <f>SUMIF(Carico!$B$3:$B$975,B53,Carico!$C$3:$C$975)-(SUMIF(Scarico!$B$3:$B$997,B53,Scarico!$C$3:$C$997))+$D$4:$D$987</f>
        <v>0</v>
      </c>
      <c r="D53" s="38"/>
      <c r="E53" s="9"/>
      <c r="F53" s="40">
        <f t="shared" si="2"/>
        <v>0</v>
      </c>
    </row>
    <row r="54" ht="15.75" customHeight="1">
      <c r="A54" s="25"/>
      <c r="B54" s="36" t="s">
        <v>107</v>
      </c>
      <c r="C54" s="37">
        <f>SUMIF(Carico!$B$3:$B$975,B54,Carico!$C$3:$C$975)-(SUMIF(Scarico!$B$3:$B$997,B54,Scarico!$C$3:$C$997))+$D$4:$D$987</f>
        <v>0</v>
      </c>
      <c r="D54" s="38"/>
      <c r="E54" s="9"/>
      <c r="F54" s="40">
        <f t="shared" si="2"/>
        <v>0</v>
      </c>
    </row>
    <row r="55" ht="15.75" customHeight="1">
      <c r="A55" s="25"/>
      <c r="B55" s="36" t="s">
        <v>110</v>
      </c>
      <c r="C55" s="37">
        <f>SUMIF(Carico!$B$3:$B$975,B55,Carico!$C$3:$C$975)-(SUMIF(Scarico!$B$3:$B$997,B55,Scarico!$C$3:$C$997))+$D$4:$D$987</f>
        <v>-4</v>
      </c>
      <c r="D55" s="38"/>
      <c r="E55" s="39">
        <v>4.99</v>
      </c>
      <c r="F55" s="40">
        <f t="shared" si="2"/>
        <v>-19.96</v>
      </c>
    </row>
    <row r="56" ht="15.75" customHeight="1">
      <c r="A56" s="25"/>
      <c r="B56" s="36" t="s">
        <v>112</v>
      </c>
      <c r="C56" s="37">
        <f>SUMIF(Carico!$B$3:$B$975,B56,Carico!$C$3:$C$975)-(SUMIF(Scarico!$B$3:$B$997,B56,Scarico!$C$3:$C$997))+$D$4:$D$987</f>
        <v>1</v>
      </c>
      <c r="D56" s="38"/>
      <c r="E56" s="39">
        <v>10.9</v>
      </c>
      <c r="F56" s="40">
        <f t="shared" si="2"/>
        <v>10.9</v>
      </c>
    </row>
    <row r="57" ht="15.75" customHeight="1">
      <c r="A57" s="25"/>
      <c r="B57" s="36" t="s">
        <v>114</v>
      </c>
      <c r="C57" s="37">
        <f>SUMIF(Carico!$B$3:$B$975,B57,Carico!$C$3:$C$975)-(SUMIF(Scarico!$B$3:$B$997,B57,Scarico!$C$3:$C$997))+$D$4:$D$987</f>
        <v>0</v>
      </c>
      <c r="D57" s="38"/>
      <c r="E57" s="9"/>
      <c r="F57" s="40">
        <f t="shared" si="2"/>
        <v>0</v>
      </c>
    </row>
    <row r="58" ht="15.75" customHeight="1">
      <c r="A58" s="25"/>
      <c r="B58" s="36" t="s">
        <v>115</v>
      </c>
      <c r="C58" s="37">
        <f>SUMIF(Carico!$B$3:$B$975,B58,Carico!$C$3:$C$975)-(SUMIF(Scarico!$B$3:$B$997,B58,Scarico!$C$3:$C$997))+$D$4:$D$987</f>
        <v>6</v>
      </c>
      <c r="D58" s="38"/>
      <c r="E58" s="39">
        <v>2.79</v>
      </c>
      <c r="F58" s="40">
        <f t="shared" si="2"/>
        <v>16.74</v>
      </c>
    </row>
    <row r="59" ht="15.75" customHeight="1">
      <c r="A59" s="25"/>
      <c r="B59" s="36" t="s">
        <v>44</v>
      </c>
      <c r="C59" s="37">
        <f>SUMIF(Carico!$B$3:$B$975,B59,Carico!$C$3:$C$975)-(SUMIF(Scarico!$B$3:$B$997,B59,Scarico!$C$3:$C$997))+$D$4:$D$987</f>
        <v>16</v>
      </c>
      <c r="D59" s="38"/>
      <c r="E59" s="39">
        <v>2.79</v>
      </c>
      <c r="F59" s="40">
        <f t="shared" si="2"/>
        <v>44.64</v>
      </c>
    </row>
    <row r="60" ht="15.75" customHeight="1">
      <c r="A60" s="25"/>
      <c r="B60" s="36" t="s">
        <v>81</v>
      </c>
      <c r="C60" s="37">
        <f>SUMIF(Carico!$B$3:$B$975,B60,Carico!$C$3:$C$975)-(SUMIF(Scarico!$B$3:$B$997,B60,Scarico!$C$3:$C$997))+$D$4:$D$987</f>
        <v>0</v>
      </c>
      <c r="D60" s="38"/>
      <c r="E60" s="9"/>
      <c r="F60" s="40">
        <f t="shared" si="2"/>
        <v>0</v>
      </c>
    </row>
    <row r="61" ht="15.75" customHeight="1">
      <c r="A61" s="25"/>
      <c r="B61" s="36" t="s">
        <v>120</v>
      </c>
      <c r="C61" s="37">
        <f>SUMIF(Carico!$B$3:$B$975,B61,Carico!$C$3:$C$975)-(SUMIF(Scarico!$B$3:$B$997,B61,Scarico!$C$3:$C$997))+$D$4:$D$987</f>
        <v>24</v>
      </c>
      <c r="D61" s="38"/>
      <c r="E61" s="39">
        <v>2.95</v>
      </c>
      <c r="F61" s="40">
        <f t="shared" si="2"/>
        <v>70.8</v>
      </c>
    </row>
    <row r="62" ht="15.75" customHeight="1">
      <c r="A62" s="25"/>
      <c r="B62" s="36" t="s">
        <v>21</v>
      </c>
      <c r="C62" s="37">
        <f>SUMIF(Carico!$B$3:$B$975,B62,Carico!$C$3:$C$975)-(SUMIF(Scarico!$B$3:$B$997,B62,Scarico!$C$3:$C$997))+$D$4:$D$987</f>
        <v>75</v>
      </c>
      <c r="D62" s="38"/>
      <c r="E62" s="39">
        <v>1.49</v>
      </c>
      <c r="F62" s="40">
        <f t="shared" si="2"/>
        <v>111.75</v>
      </c>
    </row>
    <row r="63" ht="15.75" customHeight="1">
      <c r="A63" s="25"/>
      <c r="B63" s="36" t="s">
        <v>123</v>
      </c>
      <c r="C63" s="37">
        <f>SUMIF(Carico!$B$3:$B$975,B63,Carico!$C$3:$C$975)-(SUMIF(Scarico!$B$3:$B$997,B63,Scarico!$C$3:$C$997))+$D$4:$D$987</f>
        <v>6</v>
      </c>
      <c r="D63" s="38"/>
      <c r="E63" s="9"/>
      <c r="F63" s="40">
        <f t="shared" si="2"/>
        <v>0</v>
      </c>
    </row>
    <row r="64" ht="15.75" customHeight="1">
      <c r="A64" s="25"/>
      <c r="B64" s="36" t="s">
        <v>124</v>
      </c>
      <c r="C64" s="37">
        <f>SUMIF(Carico!$B$3:$B$975,B64,Carico!$C$3:$C$975)-(SUMIF(Scarico!$B$3:$B$997,B64,Scarico!$C$3:$C$997))+$D$4:$D$987</f>
        <v>9</v>
      </c>
      <c r="D64" s="38"/>
      <c r="E64" s="39">
        <v>4.79</v>
      </c>
      <c r="F64" s="40">
        <f t="shared" si="2"/>
        <v>43.11</v>
      </c>
    </row>
    <row r="65" ht="15.75" customHeight="1">
      <c r="A65" s="25"/>
      <c r="B65" s="36" t="s">
        <v>126</v>
      </c>
      <c r="C65" s="37">
        <f>SUMIF(Carico!$B$3:$B$975,B65,Carico!$C$3:$C$975)-(SUMIF(Scarico!$B$3:$B$997,B65,Scarico!$C$3:$C$997))+$D$4:$D$987</f>
        <v>2</v>
      </c>
      <c r="D65" s="38"/>
      <c r="E65" s="9"/>
      <c r="F65" s="40">
        <f t="shared" si="2"/>
        <v>0</v>
      </c>
    </row>
    <row r="66" ht="15.75" customHeight="1">
      <c r="A66" s="25"/>
      <c r="B66" s="36" t="s">
        <v>128</v>
      </c>
      <c r="C66" s="37">
        <f>SUMIF(Carico!$B$3:$B$975,B66,Carico!$C$3:$C$975)-(SUMIF(Scarico!$B$3:$B$997,B66,Scarico!$C$3:$C$997))+$D$4:$D$987</f>
        <v>5</v>
      </c>
      <c r="D66" s="38"/>
      <c r="E66" s="39">
        <v>2.59</v>
      </c>
      <c r="F66" s="40">
        <f t="shared" si="2"/>
        <v>12.95</v>
      </c>
    </row>
    <row r="67" ht="15.75" customHeight="1">
      <c r="A67" s="25"/>
      <c r="B67" s="36" t="s">
        <v>68</v>
      </c>
      <c r="C67" s="37">
        <f>SUMIF(Carico!$B$3:$B$975,B67,Carico!$C$3:$C$975)-(SUMIF(Scarico!$B$3:$B$997,B67,Scarico!$C$3:$C$997))+$D$4:$D$987</f>
        <v>192</v>
      </c>
      <c r="D67" s="38"/>
      <c r="E67" s="9"/>
      <c r="F67" s="40">
        <f t="shared" si="2"/>
        <v>0</v>
      </c>
    </row>
    <row r="68" ht="15.75" customHeight="1">
      <c r="A68" s="25"/>
      <c r="B68" s="36" t="s">
        <v>98</v>
      </c>
      <c r="C68" s="37">
        <f>SUMIF(Carico!$B$3:$B$975,B68,Carico!$C$3:$C$975)-(SUMIF(Scarico!$B$3:$B$997,B68,Scarico!$C$3:$C$997))+$D$4:$D$987</f>
        <v>6</v>
      </c>
      <c r="D68" s="38"/>
      <c r="E68" s="9"/>
      <c r="F68" s="40">
        <f t="shared" si="2"/>
        <v>0</v>
      </c>
    </row>
    <row r="69" ht="15.75" customHeight="1">
      <c r="A69" s="25"/>
      <c r="B69" s="36" t="s">
        <v>131</v>
      </c>
      <c r="C69" s="37">
        <f>SUMIF(Carico!$B$3:$B$975,B69,Carico!$C$3:$C$975)-(SUMIF(Scarico!$B$3:$B$997,B69,Scarico!$C$3:$C$997))+$D$4:$D$987</f>
        <v>0</v>
      </c>
      <c r="D69" s="38"/>
      <c r="E69" s="9"/>
      <c r="F69" s="40">
        <f t="shared" si="2"/>
        <v>0</v>
      </c>
    </row>
    <row r="70" ht="15.75" customHeight="1">
      <c r="A70" s="25"/>
      <c r="B70" s="36" t="s">
        <v>133</v>
      </c>
      <c r="C70" s="37">
        <f>SUMIF(Carico!$B$3:$B$975,B70,Carico!$C$3:$C$975)-(SUMIF(Scarico!$B$3:$B$997,B70,Scarico!$C$3:$C$997))+$D$4:$D$987</f>
        <v>4</v>
      </c>
      <c r="D70" s="38"/>
      <c r="E70" s="9"/>
      <c r="F70" s="40">
        <f t="shared" si="2"/>
        <v>0</v>
      </c>
    </row>
    <row r="71" ht="15.75" customHeight="1">
      <c r="A71" s="25"/>
      <c r="B71" s="36" t="s">
        <v>134</v>
      </c>
      <c r="C71" s="37">
        <f>SUMIF(Carico!$B$3:$B$975,B71,Carico!$C$3:$C$975)-(SUMIF(Scarico!$B$3:$B$997,B71,Scarico!$C$3:$C$997))+$D$4:$D$987</f>
        <v>30</v>
      </c>
      <c r="D71" s="38"/>
      <c r="E71" s="9"/>
      <c r="F71" s="40">
        <f t="shared" si="2"/>
        <v>0</v>
      </c>
    </row>
    <row r="72" ht="15.75" customHeight="1">
      <c r="A72" s="25"/>
      <c r="B72" s="36" t="s">
        <v>135</v>
      </c>
      <c r="C72" s="37">
        <f>SUMIF(Carico!$B$3:$B$975,B72,Carico!$C$3:$C$975)-(SUMIF(Scarico!$B$3:$B$997,B72,Scarico!$C$3:$C$997))+$D$4:$D$987</f>
        <v>12</v>
      </c>
      <c r="D72" s="38"/>
      <c r="E72" s="9"/>
      <c r="F72" s="40">
        <f t="shared" si="2"/>
        <v>0</v>
      </c>
    </row>
    <row r="73" ht="15.75" customHeight="1">
      <c r="A73" s="25"/>
      <c r="B73" s="36" t="s">
        <v>117</v>
      </c>
      <c r="C73" s="37">
        <f>SUMIF(Carico!$B$3:$B$975,B73,Carico!$C$3:$C$975)-(SUMIF(Scarico!$B$3:$B$997,B73,Scarico!$C$3:$C$997))+$D$4:$D$987</f>
        <v>27</v>
      </c>
      <c r="D73" s="38"/>
      <c r="E73" s="9"/>
      <c r="F73" s="40">
        <f t="shared" si="2"/>
        <v>0</v>
      </c>
    </row>
    <row r="74" ht="15.75" customHeight="1">
      <c r="A74" s="25"/>
      <c r="B74" s="36" t="s">
        <v>137</v>
      </c>
      <c r="C74" s="37">
        <f>SUMIF(Carico!$B$3:$B$975,B74,Carico!$C$3:$C$975)-(SUMIF(Scarico!$B$3:$B$997,B74,Scarico!$C$3:$C$997))+$D$4:$D$987</f>
        <v>4</v>
      </c>
      <c r="D74" s="38"/>
      <c r="E74" s="9"/>
      <c r="F74" s="40">
        <f t="shared" si="2"/>
        <v>0</v>
      </c>
    </row>
    <row r="75" ht="15.75" customHeight="1">
      <c r="A75" s="25"/>
      <c r="B75" s="36" t="s">
        <v>139</v>
      </c>
      <c r="C75" s="37">
        <f>SUMIF(Carico!$B$3:$B$975,B75,Carico!$C$3:$C$975)-(SUMIF(Scarico!$B$3:$B$997,B75,Scarico!$C$3:$C$997))+$D$4:$D$987</f>
        <v>0</v>
      </c>
      <c r="D75" s="38"/>
      <c r="E75" s="9"/>
      <c r="F75" s="40">
        <f t="shared" si="2"/>
        <v>0</v>
      </c>
    </row>
    <row r="76" ht="15.75" customHeight="1">
      <c r="A76" s="25"/>
      <c r="B76" s="36" t="s">
        <v>142</v>
      </c>
      <c r="C76" s="37">
        <f>SUMIF(Carico!$B$3:$B$975,B76,Carico!$C$3:$C$975)-(SUMIF(Scarico!$B$3:$B$997,B76,Scarico!$C$3:$C$997))+$D$4:$D$987</f>
        <v>2</v>
      </c>
      <c r="D76" s="38"/>
      <c r="E76" s="9"/>
      <c r="F76" s="40">
        <f t="shared" si="2"/>
        <v>0</v>
      </c>
    </row>
    <row r="77" ht="15.75" customHeight="1">
      <c r="A77" s="25"/>
      <c r="B77" s="36" t="s">
        <v>144</v>
      </c>
      <c r="C77" s="37">
        <f>SUMIF(Carico!$B$3:$B$975,B77,Carico!$C$3:$C$975)-(SUMIF(Scarico!$B$3:$B$997,B77,Scarico!$C$3:$C$997))+$D$4:$D$987</f>
        <v>25</v>
      </c>
      <c r="D77" s="38"/>
      <c r="E77" s="9"/>
      <c r="F77" s="40">
        <f t="shared" si="2"/>
        <v>0</v>
      </c>
    </row>
    <row r="78" ht="15.75" customHeight="1">
      <c r="A78" s="25"/>
      <c r="B78" s="36" t="s">
        <v>146</v>
      </c>
      <c r="C78" s="37">
        <f>SUMIF(Carico!$B$3:$B$975,B78,Carico!$C$3:$C$975)-(SUMIF(Scarico!$B$3:$B$997,B78,Scarico!$C$3:$C$997))+$D$4:$D$987</f>
        <v>35</v>
      </c>
      <c r="D78" s="38"/>
      <c r="E78" s="9"/>
      <c r="F78" s="40">
        <f t="shared" si="2"/>
        <v>0</v>
      </c>
    </row>
    <row r="79" ht="15.75" customHeight="1">
      <c r="A79" s="25"/>
      <c r="B79" s="36" t="s">
        <v>148</v>
      </c>
      <c r="C79" s="37">
        <f>SUMIF(Carico!$B$3:$B$975,B79,Carico!$C$3:$C$975)-(SUMIF(Scarico!$B$3:$B$997,B79,Scarico!$C$3:$C$997))+$D$4:$D$987</f>
        <v>0</v>
      </c>
      <c r="D79" s="38"/>
      <c r="E79" s="9"/>
      <c r="F79" s="40">
        <f t="shared" si="2"/>
        <v>0</v>
      </c>
    </row>
    <row r="80" ht="15.75" customHeight="1">
      <c r="A80" s="25"/>
      <c r="B80" s="36" t="s">
        <v>149</v>
      </c>
      <c r="C80" s="37">
        <f>SUMIF(Carico!$B$3:$B$975,B80,Carico!$C$3:$C$975)-(SUMIF(Scarico!$B$3:$B$997,B80,Scarico!$C$3:$C$997))+$D$4:$D$987</f>
        <v>11</v>
      </c>
      <c r="D80" s="38"/>
      <c r="E80" s="39">
        <v>10.0</v>
      </c>
      <c r="F80" s="40">
        <f t="shared" si="2"/>
        <v>110</v>
      </c>
    </row>
    <row r="81" ht="15.75" customHeight="1">
      <c r="A81" s="25"/>
      <c r="B81" s="36" t="s">
        <v>150</v>
      </c>
      <c r="C81" s="37">
        <f>SUMIF(Carico!$B$3:$B$975,B81,Carico!$C$3:$C$975)-(SUMIF(Scarico!$B$3:$B$997,B81,Scarico!$C$3:$C$997))+$D$4:$D$987</f>
        <v>1</v>
      </c>
      <c r="D81" s="38"/>
      <c r="E81" s="9"/>
      <c r="F81" s="40">
        <f t="shared" si="2"/>
        <v>0</v>
      </c>
    </row>
    <row r="82" ht="15.75" customHeight="1">
      <c r="A82" s="25"/>
      <c r="B82" s="36" t="s">
        <v>151</v>
      </c>
      <c r="C82" s="37">
        <f>SUMIF(Carico!$B$3:$B$975,B82,Carico!$C$3:$C$975)-(SUMIF(Scarico!$B$3:$B$997,B82,Scarico!$C$3:$C$997))+$D$4:$D$987</f>
        <v>0</v>
      </c>
      <c r="D82" s="38"/>
      <c r="E82" s="9"/>
      <c r="F82" s="40">
        <f t="shared" si="2"/>
        <v>0</v>
      </c>
    </row>
    <row r="83" ht="15.75" customHeight="1">
      <c r="A83" s="25"/>
      <c r="B83" s="36" t="s">
        <v>152</v>
      </c>
      <c r="C83" s="37">
        <f>SUMIF(Carico!$B$3:$B$975,B83,Carico!$C$3:$C$975)-(SUMIF(Scarico!$B$3:$B$997,B83,Scarico!$C$3:$C$997))+$D$4:$D$987</f>
        <v>72</v>
      </c>
      <c r="D83" s="38"/>
      <c r="E83" s="9"/>
      <c r="F83" s="40">
        <f t="shared" si="2"/>
        <v>0</v>
      </c>
    </row>
    <row r="84" ht="15.75" customHeight="1">
      <c r="A84" s="25"/>
      <c r="B84" s="36" t="s">
        <v>154</v>
      </c>
      <c r="C84" s="37">
        <f>SUMIF(Carico!$B$3:$B$975,B84,Carico!$C$3:$C$975)-(SUMIF(Scarico!$B$3:$B$997,B84,Scarico!$C$3:$C$997))+$D$4:$D$987</f>
        <v>7</v>
      </c>
      <c r="D84" s="38"/>
      <c r="E84" s="9"/>
      <c r="F84" s="40">
        <f t="shared" si="2"/>
        <v>0</v>
      </c>
    </row>
    <row r="85" ht="15.75" customHeight="1">
      <c r="A85" s="25"/>
      <c r="B85" s="36" t="s">
        <v>155</v>
      </c>
      <c r="C85" s="37">
        <f>SUMIF(Carico!$B$3:$B$975,B85,Carico!$C$3:$C$975)-(SUMIF(Scarico!$B$3:$B$997,B85,Scarico!$C$3:$C$997))+$D$4:$D$987</f>
        <v>11</v>
      </c>
      <c r="D85" s="38"/>
      <c r="E85" s="9"/>
      <c r="F85" s="40">
        <f t="shared" si="2"/>
        <v>0</v>
      </c>
    </row>
    <row r="86" ht="15.75" customHeight="1">
      <c r="A86" s="25"/>
      <c r="B86" s="36" t="s">
        <v>156</v>
      </c>
      <c r="C86" s="37">
        <f>SUMIF(Carico!$B$3:$B$975,B86,Carico!$C$3:$C$975)-(SUMIF(Scarico!$B$3:$B$997,B86,Scarico!$C$3:$C$997))+$D$4:$D$987</f>
        <v>0</v>
      </c>
      <c r="D86" s="38"/>
      <c r="E86" s="9"/>
      <c r="F86" s="40">
        <f t="shared" si="2"/>
        <v>0</v>
      </c>
    </row>
    <row r="87" ht="15.75" customHeight="1">
      <c r="A87" s="25"/>
      <c r="B87" s="36" t="s">
        <v>158</v>
      </c>
      <c r="C87" s="37">
        <f>SUMIF(Carico!$B$3:$B$975,B87,Carico!$C$3:$C$975)-(SUMIF(Scarico!$B$3:$B$997,B87,Scarico!$C$3:$C$997))+$D$4:$D$987</f>
        <v>0</v>
      </c>
      <c r="D87" s="38"/>
      <c r="E87" s="9"/>
      <c r="F87" s="40">
        <f t="shared" si="2"/>
        <v>0</v>
      </c>
    </row>
    <row r="88" ht="15.75" customHeight="1">
      <c r="A88" s="25"/>
      <c r="B88" s="36" t="s">
        <v>160</v>
      </c>
      <c r="C88" s="37">
        <f>SUMIF(Carico!$B$3:$B$975,B88,Carico!$C$3:$C$975)-(SUMIF(Scarico!$B$3:$B$997,B88,Scarico!$C$3:$C$997))+$D$4:$D$987</f>
        <v>0</v>
      </c>
      <c r="D88" s="38"/>
      <c r="E88" s="9"/>
      <c r="F88" s="40">
        <f t="shared" si="2"/>
        <v>0</v>
      </c>
    </row>
    <row r="89" ht="15.75" customHeight="1">
      <c r="A89" s="25"/>
      <c r="B89" s="36" t="s">
        <v>161</v>
      </c>
      <c r="C89" s="37">
        <f>SUMIF(Carico!$B$3:$B$975,B89,Carico!$C$3:$C$975)-(SUMIF(Scarico!$B$3:$B$997,B89,Scarico!$C$3:$C$997))+$D$4:$D$987</f>
        <v>0</v>
      </c>
      <c r="D89" s="38"/>
      <c r="E89" s="9"/>
      <c r="F89" s="40">
        <f t="shared" si="2"/>
        <v>0</v>
      </c>
    </row>
    <row r="90" ht="15.75" customHeight="1">
      <c r="A90" s="25"/>
      <c r="B90" s="36" t="s">
        <v>163</v>
      </c>
      <c r="C90" s="37">
        <f>SUMIF(Carico!$B$3:$B$975,B90,Carico!$C$3:$C$975)-(SUMIF(Scarico!$B$3:$B$997,B90,Scarico!$C$3:$C$997))+$D$4:$D$987</f>
        <v>0</v>
      </c>
      <c r="D90" s="38"/>
      <c r="E90" s="9"/>
      <c r="F90" s="40">
        <f t="shared" si="2"/>
        <v>0</v>
      </c>
    </row>
    <row r="91" ht="15.75" customHeight="1">
      <c r="A91" s="25"/>
      <c r="B91" s="36" t="s">
        <v>108</v>
      </c>
      <c r="C91" s="37">
        <f>SUMIF(Carico!$B$3:$B$975,B91,Carico!$C$3:$C$975)-(SUMIF(Scarico!$B$3:$B$997,B91,Scarico!$C$3:$C$997))+$D$4:$D$987</f>
        <v>7</v>
      </c>
      <c r="D91" s="38"/>
      <c r="E91" s="39">
        <v>2.79</v>
      </c>
      <c r="F91" s="40">
        <f t="shared" si="2"/>
        <v>19.53</v>
      </c>
    </row>
    <row r="92" ht="15.75" customHeight="1">
      <c r="A92" s="25"/>
      <c r="B92" s="36" t="s">
        <v>166</v>
      </c>
      <c r="C92" s="37">
        <f>SUMIF(Carico!$B$3:$B$975,B92,Carico!$C$3:$C$975)-(SUMIF(Scarico!$B$3:$B$997,B92,Scarico!$C$3:$C$997))+$D$4:$D$987</f>
        <v>0</v>
      </c>
      <c r="D92" s="38"/>
      <c r="E92" s="9"/>
      <c r="F92" s="40">
        <f t="shared" si="2"/>
        <v>0</v>
      </c>
    </row>
    <row r="93" ht="15.75" customHeight="1">
      <c r="A93" s="25"/>
      <c r="B93" s="36" t="s">
        <v>113</v>
      </c>
      <c r="C93" s="37">
        <f>SUMIF(Carico!$B$3:$B$975,B93,Carico!$C$3:$C$975)-(SUMIF(Scarico!$B$3:$B$997,B93,Scarico!$C$3:$C$997))+$D$4:$D$987</f>
        <v>6</v>
      </c>
      <c r="D93" s="38"/>
      <c r="E93" s="39">
        <v>10.0</v>
      </c>
      <c r="F93" s="40">
        <f t="shared" si="2"/>
        <v>60</v>
      </c>
    </row>
    <row r="94" ht="15.75" customHeight="1">
      <c r="A94" s="25"/>
      <c r="B94" s="36" t="s">
        <v>169</v>
      </c>
      <c r="C94" s="37">
        <f>SUMIF(Carico!$B$3:$B$975,B94,Carico!$C$3:$C$975)-(SUMIF(Scarico!$B$3:$B$997,B94,Scarico!$C$3:$C$997))+$D$4:$D$987</f>
        <v>0</v>
      </c>
      <c r="D94" s="38"/>
      <c r="E94" s="9"/>
      <c r="F94" s="40">
        <f t="shared" si="2"/>
        <v>0</v>
      </c>
    </row>
    <row r="95" ht="15.75" customHeight="1">
      <c r="A95" s="25"/>
      <c r="B95" s="36" t="s">
        <v>171</v>
      </c>
      <c r="C95" s="37">
        <f>SUMIF(Carico!$B$3:$B$975,B95,Carico!$C$3:$C$975)-(SUMIF(Scarico!$B$3:$B$997,B95,Scarico!$C$3:$C$997))+$D$4:$D$987</f>
        <v>1</v>
      </c>
      <c r="D95" s="38"/>
      <c r="E95" s="9"/>
      <c r="F95" s="40">
        <f t="shared" si="2"/>
        <v>0</v>
      </c>
    </row>
    <row r="96" ht="15.75" customHeight="1">
      <c r="A96" s="25"/>
      <c r="B96" s="36" t="s">
        <v>79</v>
      </c>
      <c r="C96" s="37">
        <f>SUMIF(Carico!$B$3:$B$975,B96,Carico!$C$3:$C$975)-(SUMIF(Scarico!$B$3:$B$997,B96,Scarico!$C$3:$C$997))+$D$4:$D$987</f>
        <v>5</v>
      </c>
      <c r="D96" s="38"/>
      <c r="E96" s="39">
        <v>23.0</v>
      </c>
      <c r="F96" s="40">
        <f t="shared" si="2"/>
        <v>115</v>
      </c>
    </row>
    <row r="97" ht="15.75" customHeight="1">
      <c r="A97" s="25"/>
      <c r="B97" s="36" t="s">
        <v>172</v>
      </c>
      <c r="C97" s="37">
        <f>SUMIF(Carico!$B$3:$B$975,B97,Carico!$C$3:$C$975)-(SUMIF(Scarico!$B$3:$B$997,B97,Scarico!$C$3:$C$997))+$D$4:$D$987</f>
        <v>0</v>
      </c>
      <c r="D97" s="38"/>
      <c r="E97" s="9"/>
      <c r="F97" s="40">
        <f t="shared" si="2"/>
        <v>0</v>
      </c>
    </row>
    <row r="98" ht="15.75" customHeight="1">
      <c r="A98" s="25"/>
      <c r="B98" s="36" t="s">
        <v>173</v>
      </c>
      <c r="C98" s="37">
        <f>SUMIF(Carico!$B$3:$B$975,B98,Carico!$C$3:$C$975)-(SUMIF(Scarico!$B$3:$B$997,B98,Scarico!$C$3:$C$997))+$D$4:$D$987</f>
        <v>-5</v>
      </c>
      <c r="D98" s="38"/>
      <c r="E98" s="9"/>
      <c r="F98" s="40">
        <f t="shared" si="2"/>
        <v>0</v>
      </c>
    </row>
    <row r="99" ht="15.75" customHeight="1">
      <c r="A99" s="25"/>
      <c r="B99" s="36" t="s">
        <v>122</v>
      </c>
      <c r="C99" s="37">
        <f>SUMIF(Carico!$B$3:$B$975,B99,Carico!$C$3:$C$975)-(SUMIF(Scarico!$B$3:$B$997,B99,Scarico!$C$3:$C$997))+$D$4:$D$987</f>
        <v>-8</v>
      </c>
      <c r="D99" s="38"/>
      <c r="E99" s="9"/>
      <c r="F99" s="40">
        <f t="shared" si="2"/>
        <v>0</v>
      </c>
    </row>
    <row r="100" ht="15.75" customHeight="1">
      <c r="A100" s="25"/>
      <c r="B100" s="36" t="s">
        <v>40</v>
      </c>
      <c r="C100" s="37">
        <f>SUMIF(Carico!$B$3:$B$975,B100,Carico!$C$3:$C$975)-(SUMIF(Scarico!$B$3:$B$997,B100,Scarico!$C$3:$C$997))+$D$4:$D$987</f>
        <v>17</v>
      </c>
      <c r="D100" s="38"/>
      <c r="E100" s="9"/>
      <c r="F100" s="46">
        <v>9.99</v>
      </c>
    </row>
    <row r="101" ht="15.75" customHeight="1">
      <c r="A101" s="25"/>
      <c r="B101" s="36" t="s">
        <v>176</v>
      </c>
      <c r="C101" s="37">
        <f>SUMIF(Carico!$B$3:$B$975,B101,Carico!$C$3:$C$975)-(SUMIF(Scarico!$B$3:$B$997,B101,Scarico!$C$3:$C$997))+$D$4:$D$987</f>
        <v>0</v>
      </c>
      <c r="D101" s="38"/>
      <c r="E101" s="9"/>
      <c r="F101" s="40">
        <f t="shared" ref="F101:F164" si="3">E101*C101</f>
        <v>0</v>
      </c>
    </row>
    <row r="102" ht="15.75" customHeight="1">
      <c r="A102" s="25"/>
      <c r="B102" s="36" t="s">
        <v>177</v>
      </c>
      <c r="C102" s="37">
        <f>SUMIF(Carico!$B$3:$B$975,B102,Carico!$C$3:$C$975)-(SUMIF(Scarico!$B$3:$B$997,B102,Scarico!$C$3:$C$997))+$D$4:$D$987</f>
        <v>0</v>
      </c>
      <c r="D102" s="38"/>
      <c r="E102" s="9"/>
      <c r="F102" s="40">
        <f t="shared" si="3"/>
        <v>0</v>
      </c>
    </row>
    <row r="103" ht="15.75" customHeight="1">
      <c r="A103" s="25"/>
      <c r="B103" s="36" t="s">
        <v>178</v>
      </c>
      <c r="C103" s="37">
        <f>SUMIF(Carico!$B$3:$B$975,B103,Carico!$C$3:$C$975)-(SUMIF(Scarico!$B$3:$B$997,B103,Scarico!$C$3:$C$997))+$D$4:$D$987</f>
        <v>-3</v>
      </c>
      <c r="D103" s="38"/>
      <c r="E103" s="9"/>
      <c r="F103" s="40">
        <f t="shared" si="3"/>
        <v>0</v>
      </c>
    </row>
    <row r="104" ht="15.75" customHeight="1">
      <c r="A104" s="25"/>
      <c r="B104" s="36" t="s">
        <v>153</v>
      </c>
      <c r="C104" s="37">
        <f>SUMIF(Carico!$B$3:$B$975,B104,Carico!$C$3:$C$975)-(SUMIF(Scarico!$B$3:$B$997,B104,Scarico!$C$3:$C$997))+$D$4:$D$987</f>
        <v>8</v>
      </c>
      <c r="D104" s="38"/>
      <c r="E104" s="9"/>
      <c r="F104" s="40">
        <f t="shared" si="3"/>
        <v>0</v>
      </c>
    </row>
    <row r="105" ht="15.75" customHeight="1">
      <c r="A105" s="25"/>
      <c r="B105" s="36" t="s">
        <v>181</v>
      </c>
      <c r="C105" s="37">
        <f>SUMIF(Carico!$B$3:$B$975,B105,Carico!$C$3:$C$975)-(SUMIF(Scarico!$B$3:$B$997,B105,Scarico!$C$3:$C$997))+$D$4:$D$987</f>
        <v>0</v>
      </c>
      <c r="D105" s="38"/>
      <c r="E105" s="9"/>
      <c r="F105" s="40">
        <f t="shared" si="3"/>
        <v>0</v>
      </c>
    </row>
    <row r="106" ht="15.75" customHeight="1">
      <c r="A106" s="25"/>
      <c r="B106" s="36" t="s">
        <v>183</v>
      </c>
      <c r="C106" s="37">
        <f>SUMIF(Carico!$B$3:$B$975,B106,Carico!$C$3:$C$975)-(SUMIF(Scarico!$B$3:$B$997,B106,Scarico!$C$3:$C$997))+$D$4:$D$987</f>
        <v>0</v>
      </c>
      <c r="D106" s="38"/>
      <c r="E106" s="9"/>
      <c r="F106" s="40">
        <f t="shared" si="3"/>
        <v>0</v>
      </c>
    </row>
    <row r="107" ht="15.75" customHeight="1">
      <c r="A107" s="25"/>
      <c r="B107" s="36" t="s">
        <v>184</v>
      </c>
      <c r="C107" s="37">
        <f>SUMIF(Carico!$B$3:$B$975,B107,Carico!$C$3:$C$975)-(SUMIF(Scarico!$B$3:$B$997,B107,Scarico!$C$3:$C$997))+$D$4:$D$987</f>
        <v>0</v>
      </c>
      <c r="D107" s="38"/>
      <c r="E107" s="9"/>
      <c r="F107" s="40">
        <f t="shared" si="3"/>
        <v>0</v>
      </c>
    </row>
    <row r="108" ht="15.75" customHeight="1">
      <c r="A108" s="25"/>
      <c r="B108" s="36" t="s">
        <v>147</v>
      </c>
      <c r="C108" s="37">
        <f>SUMIF(Carico!$B$3:$B$975,B108,Carico!$C$3:$C$975)-(SUMIF(Scarico!$B$3:$B$997,B108,Scarico!$C$3:$C$997))+$D$4:$D$987</f>
        <v>2</v>
      </c>
      <c r="D108" s="38"/>
      <c r="E108" s="9"/>
      <c r="F108" s="40">
        <f t="shared" si="3"/>
        <v>0</v>
      </c>
    </row>
    <row r="109" ht="15.75" customHeight="1">
      <c r="A109" s="25"/>
      <c r="B109" s="36" t="s">
        <v>47</v>
      </c>
      <c r="C109" s="37">
        <f>SUMIF(Carico!$B$3:$B$975,B109,Carico!$C$3:$C$975)-(SUMIF(Scarico!$B$3:$B$997,B109,Scarico!$C$3:$C$997))+$D$4:$D$987</f>
        <v>5</v>
      </c>
      <c r="D109" s="38"/>
      <c r="E109" s="39">
        <v>6.86</v>
      </c>
      <c r="F109" s="40">
        <f t="shared" si="3"/>
        <v>34.3</v>
      </c>
    </row>
    <row r="110" ht="15.75" customHeight="1">
      <c r="A110" s="25"/>
      <c r="B110" s="36" t="s">
        <v>188</v>
      </c>
      <c r="C110" s="37">
        <f>SUMIF(Carico!$B$3:$B$975,B110,Carico!$C$3:$C$975)-(SUMIF(Scarico!$B$3:$B$997,B110,Scarico!$C$3:$C$997))+$D$4:$D$987</f>
        <v>-2</v>
      </c>
      <c r="D110" s="38"/>
      <c r="E110" s="9"/>
      <c r="F110" s="40">
        <f t="shared" si="3"/>
        <v>0</v>
      </c>
    </row>
    <row r="111" ht="15.75" customHeight="1">
      <c r="A111" s="25"/>
      <c r="B111" s="36" t="s">
        <v>189</v>
      </c>
      <c r="C111" s="37">
        <f>SUMIF(Carico!$B$3:$B$975,B111,Carico!$C$3:$C$975)-(SUMIF(Scarico!$B$3:$B$997,B111,Scarico!$C$3:$C$997))+$D$4:$D$987</f>
        <v>0</v>
      </c>
      <c r="D111" s="38"/>
      <c r="E111" s="9"/>
      <c r="F111" s="40">
        <f t="shared" si="3"/>
        <v>0</v>
      </c>
    </row>
    <row r="112" ht="15.75" customHeight="1">
      <c r="A112" s="25"/>
      <c r="B112" s="36" t="s">
        <v>125</v>
      </c>
      <c r="C112" s="37">
        <f>SUMIF(Carico!$B$3:$B$975,B112,Carico!$C$3:$C$975)-(SUMIF(Scarico!$B$3:$B$997,B112,Scarico!$C$3:$C$997))+$D$4:$D$987</f>
        <v>4</v>
      </c>
      <c r="D112" s="38"/>
      <c r="E112" s="39">
        <v>2.95</v>
      </c>
      <c r="F112" s="40">
        <f t="shared" si="3"/>
        <v>11.8</v>
      </c>
    </row>
    <row r="113" ht="15.75" customHeight="1">
      <c r="A113" s="25"/>
      <c r="B113" s="36" t="s">
        <v>190</v>
      </c>
      <c r="C113" s="37">
        <f>SUMIF(Carico!$B$3:$B$975,B113,Carico!$C$3:$C$975)-(SUMIF(Scarico!$B$3:$B$997,B113,Scarico!$C$3:$C$997))+$D$4:$D$987</f>
        <v>0</v>
      </c>
      <c r="D113" s="38"/>
      <c r="E113" s="39">
        <v>2.79</v>
      </c>
      <c r="F113" s="40">
        <f t="shared" si="3"/>
        <v>0</v>
      </c>
    </row>
    <row r="114" ht="15.75" customHeight="1">
      <c r="A114" s="25"/>
      <c r="B114" s="36" t="s">
        <v>191</v>
      </c>
      <c r="C114" s="37">
        <f>SUMIF(Carico!$B$3:$B$975,B114,Carico!$C$3:$C$975)-(SUMIF(Scarico!$B$3:$B$997,B114,Scarico!$C$3:$C$997))+$D$4:$D$987</f>
        <v>4</v>
      </c>
      <c r="D114" s="38"/>
      <c r="E114" s="9"/>
      <c r="F114" s="40">
        <f t="shared" si="3"/>
        <v>0</v>
      </c>
    </row>
    <row r="115" ht="15.75" customHeight="1">
      <c r="A115" s="25"/>
      <c r="B115" s="36" t="s">
        <v>192</v>
      </c>
      <c r="C115" s="37">
        <f>SUMIF(Carico!$B$3:$B$975,B115,Carico!$C$3:$C$975)-(SUMIF(Scarico!$B$3:$B$997,B115,Scarico!$C$3:$C$997))+$D$4:$D$987</f>
        <v>7</v>
      </c>
      <c r="D115" s="38"/>
      <c r="E115" s="9"/>
      <c r="F115" s="40">
        <f t="shared" si="3"/>
        <v>0</v>
      </c>
    </row>
    <row r="116" ht="15.75" customHeight="1">
      <c r="A116" s="25"/>
      <c r="B116" s="36" t="s">
        <v>193</v>
      </c>
      <c r="C116" s="37">
        <f>SUMIF(Carico!$B$3:$B$975,B116,Carico!$C$3:$C$975)-(SUMIF(Scarico!$B$3:$B$997,B116,Scarico!$C$3:$C$997))+$D$4:$D$987</f>
        <v>9</v>
      </c>
      <c r="D116" s="38"/>
      <c r="E116" s="9"/>
      <c r="F116" s="40">
        <f t="shared" si="3"/>
        <v>0</v>
      </c>
    </row>
    <row r="117" ht="15.75" customHeight="1">
      <c r="A117" s="25"/>
      <c r="B117" s="36" t="s">
        <v>195</v>
      </c>
      <c r="C117" s="37">
        <f>SUMIF(Carico!$B$3:$B$975,B117,Carico!$C$3:$C$975)-(SUMIF(Scarico!$B$3:$B$997,B117,Scarico!$C$3:$C$997))+$D$4:$D$987</f>
        <v>16</v>
      </c>
      <c r="D117" s="38"/>
      <c r="E117" s="9"/>
      <c r="F117" s="40">
        <f t="shared" si="3"/>
        <v>0</v>
      </c>
    </row>
    <row r="118" ht="15.75" customHeight="1">
      <c r="A118" s="25"/>
      <c r="B118" s="36" t="s">
        <v>196</v>
      </c>
      <c r="C118" s="37">
        <f>SUMIF(Carico!$B$3:$B$975,B118,Carico!$C$3:$C$975)-(SUMIF(Scarico!$B$3:$B$997,B118,Scarico!$C$3:$C$997))+$D$4:$D$987</f>
        <v>-2</v>
      </c>
      <c r="D118" s="38"/>
      <c r="E118" s="9"/>
      <c r="F118" s="40">
        <f t="shared" si="3"/>
        <v>0</v>
      </c>
    </row>
    <row r="119" ht="15.75" customHeight="1">
      <c r="A119" s="25"/>
      <c r="B119" s="36" t="s">
        <v>198</v>
      </c>
      <c r="C119" s="37">
        <f>SUMIF(Carico!$B$3:$B$975,B119,Carico!$C$3:$C$975)-(SUMIF(Scarico!$B$3:$B$997,B119,Scarico!$C$3:$C$997))+$D$4:$D$987</f>
        <v>0</v>
      </c>
      <c r="D119" s="38"/>
      <c r="E119" s="9"/>
      <c r="F119" s="40">
        <f t="shared" si="3"/>
        <v>0</v>
      </c>
    </row>
    <row r="120" ht="15.75" customHeight="1">
      <c r="A120" s="25"/>
      <c r="B120" s="36" t="s">
        <v>201</v>
      </c>
      <c r="C120" s="37">
        <f>SUMIF(Carico!$B$3:$B$975,B120,Carico!$C$3:$C$975)-(SUMIF(Scarico!$B$3:$B$997,B120,Scarico!$C$3:$C$997))+$D$4:$D$987</f>
        <v>0</v>
      </c>
      <c r="D120" s="38"/>
      <c r="E120" s="9"/>
      <c r="F120" s="40">
        <f t="shared" si="3"/>
        <v>0</v>
      </c>
    </row>
    <row r="121" ht="15.75" customHeight="1">
      <c r="A121" s="25"/>
      <c r="B121" s="36" t="s">
        <v>145</v>
      </c>
      <c r="C121" s="37">
        <f>SUMIF(Carico!$B$3:$B$975,B121,Carico!$C$3:$C$975)-(SUMIF(Scarico!$B$3:$B$997,B121,Scarico!$C$3:$C$997))+$D$4:$D$987</f>
        <v>7</v>
      </c>
      <c r="D121" s="38"/>
      <c r="E121" s="9"/>
      <c r="F121" s="40">
        <f t="shared" si="3"/>
        <v>0</v>
      </c>
    </row>
    <row r="122" ht="15.75" customHeight="1">
      <c r="A122" s="25"/>
      <c r="B122" s="36" t="s">
        <v>202</v>
      </c>
      <c r="C122" s="37">
        <f>SUMIF(Carico!$B$3:$B$975,B122,Carico!$C$3:$C$975)-(SUMIF(Scarico!$B$3:$B$997,B122,Scarico!$C$3:$C$997))+$D$4:$D$987</f>
        <v>12</v>
      </c>
      <c r="D122" s="38"/>
      <c r="E122" s="9"/>
      <c r="F122" s="40">
        <f t="shared" si="3"/>
        <v>0</v>
      </c>
    </row>
    <row r="123" ht="15.75" customHeight="1">
      <c r="A123" s="10"/>
      <c r="B123" s="36" t="s">
        <v>203</v>
      </c>
      <c r="C123" s="37">
        <f>SUMIF(Carico!$B$3:$B$975,B123,Carico!$C$3:$C$975)-(SUMIF(Scarico!$B$3:$B$997,B123,Scarico!$C$3:$C$997))+$D$4:$D$987</f>
        <v>6</v>
      </c>
      <c r="D123" s="38"/>
      <c r="E123" s="9"/>
      <c r="F123" s="40">
        <f t="shared" si="3"/>
        <v>0</v>
      </c>
    </row>
    <row r="124" ht="15.75" customHeight="1">
      <c r="A124" s="10"/>
      <c r="B124" s="36" t="s">
        <v>204</v>
      </c>
      <c r="C124" s="37">
        <f>SUMIF(Carico!$B$3:$B$975,B124,Carico!$C$3:$C$975)-(SUMIF(Scarico!$B$3:$B$997,B124,Scarico!$C$3:$C$997))+$D$4:$D$987</f>
        <v>0</v>
      </c>
      <c r="D124" s="38"/>
      <c r="E124" s="9"/>
      <c r="F124" s="40">
        <f t="shared" si="3"/>
        <v>0</v>
      </c>
    </row>
    <row r="125" ht="15.75" customHeight="1">
      <c r="A125" s="10"/>
      <c r="B125" s="36" t="s">
        <v>96</v>
      </c>
      <c r="C125" s="37">
        <f>SUMIF(Carico!$B$3:$B$975,B125,Carico!$C$3:$C$975)-(SUMIF(Scarico!$B$3:$B$997,B125,Scarico!$C$3:$C$997))+$D$4:$D$987</f>
        <v>6</v>
      </c>
      <c r="D125" s="38"/>
      <c r="E125" s="9"/>
      <c r="F125" s="40">
        <f t="shared" si="3"/>
        <v>0</v>
      </c>
    </row>
    <row r="126" ht="15.75" customHeight="1">
      <c r="A126" s="10"/>
      <c r="B126" s="36" t="s">
        <v>205</v>
      </c>
      <c r="C126" s="37">
        <f>SUMIF(Carico!$B$3:$B$975,B126,Carico!$C$3:$C$975)-(SUMIF(Scarico!$B$3:$B$997,B126,Scarico!$C$3:$C$997))+$D$4:$D$987</f>
        <v>0</v>
      </c>
      <c r="D126" s="38"/>
      <c r="E126" s="9"/>
      <c r="F126" s="40">
        <f t="shared" si="3"/>
        <v>0</v>
      </c>
    </row>
    <row r="127" ht="15.75" customHeight="1">
      <c r="A127" s="10"/>
      <c r="B127" s="36" t="s">
        <v>121</v>
      </c>
      <c r="C127" s="37">
        <f>SUMIF(Carico!$B$3:$B$975,B127,Carico!$C$3:$C$975)-(SUMIF(Scarico!$B$3:$B$997,B127,Scarico!$C$3:$C$997))+$D$4:$D$987</f>
        <v>11</v>
      </c>
      <c r="D127" s="38"/>
      <c r="E127" s="9"/>
      <c r="F127" s="40">
        <f t="shared" si="3"/>
        <v>0</v>
      </c>
    </row>
    <row r="128" ht="15.75" customHeight="1">
      <c r="A128" s="10"/>
      <c r="B128" s="36" t="s">
        <v>208</v>
      </c>
      <c r="C128" s="37">
        <f>SUMIF(Carico!$B$3:$B$975,B128,Carico!$C$3:$C$975)-(SUMIF(Scarico!$B$3:$B$997,B128,Scarico!$C$3:$C$997))+$D$4:$D$987</f>
        <v>0</v>
      </c>
      <c r="D128" s="38"/>
      <c r="E128" s="9"/>
      <c r="F128" s="40">
        <f t="shared" si="3"/>
        <v>0</v>
      </c>
    </row>
    <row r="129" ht="15.75" customHeight="1">
      <c r="A129" s="10"/>
      <c r="B129" s="36" t="s">
        <v>209</v>
      </c>
      <c r="C129" s="37">
        <f>SUMIF(Carico!$B$3:$B$975,B129,Carico!$C$3:$C$975)-(SUMIF(Scarico!$B$3:$B$997,B129,Scarico!$C$3:$C$997))+$D$4:$D$987</f>
        <v>0</v>
      </c>
      <c r="D129" s="38"/>
      <c r="E129" s="9"/>
      <c r="F129" s="40">
        <f t="shared" si="3"/>
        <v>0</v>
      </c>
    </row>
    <row r="130" ht="15.75" customHeight="1">
      <c r="A130" s="10"/>
      <c r="B130" s="36" t="s">
        <v>210</v>
      </c>
      <c r="C130" s="37">
        <f>SUMIF(Carico!$B$3:$B$975,B130,Carico!$C$3:$C$975)-(SUMIF(Scarico!$B$3:$B$997,B130,Scarico!$C$3:$C$997))+$D$4:$D$987</f>
        <v>2</v>
      </c>
      <c r="D130" s="38"/>
      <c r="E130" s="9"/>
      <c r="F130" s="40">
        <f t="shared" si="3"/>
        <v>0</v>
      </c>
    </row>
    <row r="131" ht="15.75" customHeight="1">
      <c r="A131" s="10"/>
      <c r="B131" s="36" t="s">
        <v>211</v>
      </c>
      <c r="C131" s="37">
        <f>SUMIF(Carico!$B$3:$B$975,B131,Carico!$C$3:$C$975)-(SUMIF(Scarico!$B$3:$B$997,B131,Scarico!$C$3:$C$997))+$D$4:$D$987</f>
        <v>0</v>
      </c>
      <c r="D131" s="38"/>
      <c r="E131" s="9"/>
      <c r="F131" s="40">
        <f t="shared" si="3"/>
        <v>0</v>
      </c>
    </row>
    <row r="132" ht="15.75" customHeight="1">
      <c r="A132" s="10"/>
      <c r="B132" s="36" t="s">
        <v>175</v>
      </c>
      <c r="C132" s="37">
        <f>SUMIF(Carico!$B$3:$B$975,B132,Carico!$C$3:$C$975)-(SUMIF(Scarico!$B$3:$B$997,B132,Scarico!$C$3:$C$997))+$D$4:$D$987</f>
        <v>7</v>
      </c>
      <c r="D132" s="38"/>
      <c r="E132" s="9"/>
      <c r="F132" s="40">
        <f t="shared" si="3"/>
        <v>0</v>
      </c>
    </row>
    <row r="133" ht="15.75" customHeight="1">
      <c r="A133" s="10"/>
      <c r="B133" s="36" t="s">
        <v>212</v>
      </c>
      <c r="C133" s="37">
        <f>SUMIF(Carico!$B$3:$B$975,B133,Carico!$C$3:$C$975)-(SUMIF(Scarico!$B$3:$B$997,B133,Scarico!$C$3:$C$997))+$D$4:$D$987</f>
        <v>1</v>
      </c>
      <c r="D133" s="38"/>
      <c r="E133" s="9"/>
      <c r="F133" s="40">
        <f t="shared" si="3"/>
        <v>0</v>
      </c>
    </row>
    <row r="134" ht="15.75" customHeight="1">
      <c r="A134" s="10"/>
      <c r="B134" s="36" t="s">
        <v>116</v>
      </c>
      <c r="C134" s="37">
        <f>SUMIF(Carico!$B$3:$B$975,B134,Carico!$C$3:$C$975)-(SUMIF(Scarico!$B$3:$B$997,B134,Scarico!$C$3:$C$997))+$D$4:$D$987</f>
        <v>6</v>
      </c>
      <c r="D134" s="38"/>
      <c r="E134" s="9"/>
      <c r="F134" s="40">
        <f t="shared" si="3"/>
        <v>0</v>
      </c>
    </row>
    <row r="135" ht="15.75" customHeight="1">
      <c r="A135" s="10"/>
      <c r="B135" s="36" t="s">
        <v>213</v>
      </c>
      <c r="C135" s="37">
        <f>SUMIF(Carico!$B$3:$B$975,B135,Carico!$C$3:$C$975)-(SUMIF(Scarico!$B$3:$B$997,B135,Scarico!$C$3:$C$997))+$D$4:$D$987</f>
        <v>9</v>
      </c>
      <c r="D135" s="38"/>
      <c r="E135" s="9"/>
      <c r="F135" s="40">
        <f t="shared" si="3"/>
        <v>0</v>
      </c>
    </row>
    <row r="136" ht="15.75" customHeight="1">
      <c r="A136" s="10"/>
      <c r="B136" s="36" t="s">
        <v>215</v>
      </c>
      <c r="C136" s="37">
        <f>SUMIF(Carico!$B$3:$B$975,B136,Carico!$C$3:$C$975)-(SUMIF(Scarico!$B$3:$B$997,B136,Scarico!$C$3:$C$997))+$D$4:$D$987</f>
        <v>4</v>
      </c>
      <c r="D136" s="38"/>
      <c r="E136" s="9"/>
      <c r="F136" s="40">
        <f t="shared" si="3"/>
        <v>0</v>
      </c>
    </row>
    <row r="137" ht="15.75" customHeight="1">
      <c r="A137" s="10"/>
      <c r="B137" s="36" t="s">
        <v>87</v>
      </c>
      <c r="C137" s="37">
        <f>SUMIF(Carico!$B$3:$B$975,B137,Carico!$C$3:$C$975)-(SUMIF(Scarico!$B$3:$B$997,B137,Scarico!$C$3:$C$997))+$D$4:$D$987</f>
        <v>19</v>
      </c>
      <c r="D137" s="38"/>
      <c r="E137" s="9"/>
      <c r="F137" s="40">
        <f t="shared" si="3"/>
        <v>0</v>
      </c>
    </row>
    <row r="138" ht="15.75" customHeight="1">
      <c r="A138" s="25" t="s">
        <v>216</v>
      </c>
      <c r="B138" s="36" t="s">
        <v>217</v>
      </c>
      <c r="C138" s="37">
        <f>SUMIF(Carico!$B$3:$B$975,B138,Carico!$C$3:$C$975)-(SUMIF(Scarico!$B$3:$B$997,B138,Scarico!$C$3:$C$997))+$D$4:$D$987</f>
        <v>13</v>
      </c>
      <c r="D138" s="38"/>
      <c r="E138" s="9"/>
      <c r="F138" s="40">
        <f t="shared" si="3"/>
        <v>0</v>
      </c>
    </row>
    <row r="139" ht="15.75" customHeight="1">
      <c r="A139" s="10"/>
      <c r="B139" s="36" t="s">
        <v>219</v>
      </c>
      <c r="C139" s="37">
        <f>SUMIF(Carico!$B$3:$B$975,B139,Carico!$C$3:$C$975)-(SUMIF(Scarico!$B$3:$B$997,B139,Scarico!$C$3:$C$997))+$D$4:$D$987</f>
        <v>5</v>
      </c>
      <c r="D139" s="38"/>
      <c r="E139" s="9"/>
      <c r="F139" s="40">
        <f t="shared" si="3"/>
        <v>0</v>
      </c>
    </row>
    <row r="140" ht="15.75" customHeight="1">
      <c r="A140" s="10"/>
      <c r="B140" s="36" t="s">
        <v>220</v>
      </c>
      <c r="C140" s="37">
        <f>SUMIF(Carico!$B$3:$B$975,B140,Carico!$C$3:$C$975)-(SUMIF(Scarico!$B$3:$B$997,B140,Scarico!$C$3:$C$997))+$D$4:$D$987</f>
        <v>0</v>
      </c>
      <c r="D140" s="38"/>
      <c r="E140" s="9"/>
      <c r="F140" s="40">
        <f t="shared" si="3"/>
        <v>0</v>
      </c>
    </row>
    <row r="141" ht="15.75" customHeight="1">
      <c r="A141" s="10"/>
      <c r="B141" s="36" t="s">
        <v>186</v>
      </c>
      <c r="C141" s="37">
        <f>SUMIF(Carico!$B$3:$B$975,B141,Carico!$C$3:$C$975)-(SUMIF(Scarico!$B$3:$B$997,B141,Scarico!$C$3:$C$997))+$D$4:$D$987</f>
        <v>40</v>
      </c>
      <c r="D141" s="38"/>
      <c r="E141" s="39">
        <v>1.59</v>
      </c>
      <c r="F141" s="40">
        <f t="shared" si="3"/>
        <v>63.6</v>
      </c>
    </row>
    <row r="142" ht="15.75" customHeight="1">
      <c r="A142" s="10"/>
      <c r="B142" s="36" t="s">
        <v>60</v>
      </c>
      <c r="C142" s="37">
        <f>SUMIF(Carico!$B$3:$B$975,B142,Carico!$C$3:$C$975)-(SUMIF(Scarico!$B$3:$B$997,B142,Scarico!$C$3:$C$997))+$D$4:$D$987</f>
        <v>6</v>
      </c>
      <c r="D142" s="38"/>
      <c r="E142" s="9"/>
      <c r="F142" s="40">
        <f t="shared" si="3"/>
        <v>0</v>
      </c>
    </row>
    <row r="143" ht="15.75" customHeight="1">
      <c r="A143" s="10"/>
      <c r="B143" s="36" t="s">
        <v>222</v>
      </c>
      <c r="C143" s="37">
        <f>SUMIF(Carico!$B$3:$B$975,B143,Carico!$C$3:$C$975)-(SUMIF(Scarico!$B$3:$B$997,B143,Scarico!$C$3:$C$997))+$D$4:$D$987</f>
        <v>1</v>
      </c>
      <c r="D143" s="38"/>
      <c r="E143" s="39">
        <v>1.99</v>
      </c>
      <c r="F143" s="40">
        <f t="shared" si="3"/>
        <v>1.99</v>
      </c>
    </row>
    <row r="144" ht="15.75" customHeight="1">
      <c r="A144" s="10"/>
      <c r="B144" s="36" t="s">
        <v>77</v>
      </c>
      <c r="C144" s="37">
        <f>SUMIF(Carico!$B$3:$B$975,B144,Carico!$C$3:$C$975)-(SUMIF(Scarico!$B$3:$B$997,B144,Scarico!$C$3:$C$997))+$D$4:$D$987</f>
        <v>42</v>
      </c>
      <c r="D144" s="38"/>
      <c r="E144" s="39">
        <v>1.99</v>
      </c>
      <c r="F144" s="40">
        <f t="shared" si="3"/>
        <v>83.58</v>
      </c>
    </row>
    <row r="145" ht="15.75" customHeight="1">
      <c r="A145" s="10"/>
      <c r="B145" s="36" t="s">
        <v>223</v>
      </c>
      <c r="C145" s="37">
        <f>SUMIF(Carico!$B$3:$B$975,B145,Carico!$C$3:$C$975)-(SUMIF(Scarico!$B$3:$B$997,B145,Scarico!$C$3:$C$997))+$D$4:$D$987</f>
        <v>3</v>
      </c>
      <c r="D145" s="38"/>
      <c r="E145" s="9"/>
      <c r="F145" s="40">
        <f t="shared" si="3"/>
        <v>0</v>
      </c>
    </row>
    <row r="146" ht="15.75" customHeight="1">
      <c r="A146" s="10"/>
      <c r="B146" s="36" t="s">
        <v>224</v>
      </c>
      <c r="C146" s="37">
        <f>SUMIF(Carico!$B$3:$B$975,B146,Carico!$C$3:$C$975)-(SUMIF(Scarico!$B$3:$B$997,B146,Scarico!$C$3:$C$997))+$D$4:$D$987</f>
        <v>7</v>
      </c>
      <c r="D146" s="38"/>
      <c r="E146" s="9"/>
      <c r="F146" s="40">
        <f t="shared" si="3"/>
        <v>0</v>
      </c>
    </row>
    <row r="147" ht="15.75" customHeight="1">
      <c r="A147" s="10"/>
      <c r="B147" s="36" t="s">
        <v>225</v>
      </c>
      <c r="C147" s="37">
        <f>SUMIF(Carico!$B$3:$B$975,B147,Carico!$C$3:$C$975)-(SUMIF(Scarico!$B$3:$B$997,B147,Scarico!$C$3:$C$997))+$D$4:$D$987</f>
        <v>0</v>
      </c>
      <c r="D147" s="54"/>
      <c r="E147" s="9"/>
      <c r="F147" s="40">
        <f t="shared" si="3"/>
        <v>0</v>
      </c>
    </row>
    <row r="148" ht="15.75" customHeight="1">
      <c r="A148" s="10"/>
      <c r="B148" s="36" t="s">
        <v>101</v>
      </c>
      <c r="C148" s="37">
        <f>SUMIF(Carico!$B$3:$B$975,B148,Carico!$C$3:$C$975)-(SUMIF(Scarico!$B$3:$B$997,B148,Scarico!$C$3:$C$997))+$D$4:$D$987</f>
        <v>9</v>
      </c>
      <c r="D148" s="38"/>
      <c r="E148" s="9"/>
      <c r="F148" s="40">
        <f t="shared" si="3"/>
        <v>0</v>
      </c>
    </row>
    <row r="149" ht="15.75" customHeight="1">
      <c r="A149" s="10"/>
      <c r="B149" s="36" t="s">
        <v>106</v>
      </c>
      <c r="C149" s="37">
        <f>SUMIF(Carico!$B$3:$B$975,B149,Carico!$C$3:$C$975)-(SUMIF(Scarico!$B$3:$B$997,B149,Scarico!$C$3:$C$997))+$D$4:$D$987</f>
        <v>1</v>
      </c>
      <c r="D149" s="38"/>
      <c r="E149" s="9"/>
      <c r="F149" s="40">
        <f t="shared" si="3"/>
        <v>0</v>
      </c>
    </row>
    <row r="150" ht="15.75" customHeight="1">
      <c r="A150" s="10"/>
      <c r="B150" s="36" t="s">
        <v>104</v>
      </c>
      <c r="C150" s="37">
        <f>SUMIF(Carico!$B$3:$B$975,B150,Carico!$C$3:$C$975)-(SUMIF(Scarico!$B$3:$B$997,B150,Scarico!$C$3:$C$997))+$D$4:$D$987</f>
        <v>6</v>
      </c>
      <c r="D150" s="38"/>
      <c r="E150" s="9"/>
      <c r="F150" s="40">
        <f t="shared" si="3"/>
        <v>0</v>
      </c>
    </row>
    <row r="151" ht="15.75" customHeight="1">
      <c r="A151" s="10"/>
      <c r="B151" s="36" t="s">
        <v>228</v>
      </c>
      <c r="C151" s="37">
        <f>SUMIF(Carico!$B$3:$B$975,B151,Carico!$C$3:$C$975)-(SUMIF(Scarico!$B$3:$B$997,B151,Scarico!$C$3:$C$997))+$D$4:$D$987</f>
        <v>0</v>
      </c>
      <c r="D151" s="38"/>
      <c r="E151" s="9"/>
      <c r="F151" s="40">
        <f t="shared" si="3"/>
        <v>0</v>
      </c>
    </row>
    <row r="152" ht="15.75" customHeight="1">
      <c r="A152" s="10"/>
      <c r="B152" s="36" t="s">
        <v>229</v>
      </c>
      <c r="C152" s="37">
        <f>SUMIF(Carico!$B$3:$B$975,B152,Carico!$C$3:$C$975)-(SUMIF(Scarico!$B$3:$B$997,B152,Scarico!$C$3:$C$997))+$D$4:$D$987</f>
        <v>0</v>
      </c>
      <c r="D152" s="38"/>
      <c r="E152" s="9"/>
      <c r="F152" s="40">
        <f t="shared" si="3"/>
        <v>0</v>
      </c>
    </row>
    <row r="153" ht="15.75" customHeight="1">
      <c r="A153" s="10"/>
      <c r="B153" s="36" t="s">
        <v>230</v>
      </c>
      <c r="C153" s="37">
        <f>SUMIF(Carico!$B$3:$B$975,B153,Carico!$C$3:$C$975)-(SUMIF(Scarico!$B$3:$B$997,B153,Scarico!$C$3:$C$997))+$D$4:$D$987</f>
        <v>-1</v>
      </c>
      <c r="D153" s="38"/>
      <c r="E153" s="9"/>
      <c r="F153" s="40">
        <f t="shared" si="3"/>
        <v>0</v>
      </c>
    </row>
    <row r="154" ht="15.75" customHeight="1">
      <c r="A154" s="10"/>
      <c r="B154" s="36" t="s">
        <v>232</v>
      </c>
      <c r="C154" s="37">
        <f>SUMIF(Carico!$B$3:$B$975,B154,Carico!$C$3:$C$975)-(SUMIF(Scarico!$B$3:$B$997,B154,Scarico!$C$3:$C$997))+$D$4:$D$987</f>
        <v>0</v>
      </c>
      <c r="D154" s="38"/>
      <c r="E154" s="9"/>
      <c r="F154" s="40">
        <f t="shared" si="3"/>
        <v>0</v>
      </c>
    </row>
    <row r="155" ht="15.75" customHeight="1">
      <c r="A155" s="10"/>
      <c r="B155" s="36" t="s">
        <v>234</v>
      </c>
      <c r="C155" s="37">
        <f>SUMIF(Carico!$B$3:$B$975,B155,Carico!$C$3:$C$975)-(SUMIF(Scarico!$B$3:$B$997,B155,Scarico!$C$3:$C$997))+$D$4:$D$987</f>
        <v>0</v>
      </c>
      <c r="D155" s="38"/>
      <c r="E155" s="9"/>
      <c r="F155" s="40">
        <f t="shared" si="3"/>
        <v>0</v>
      </c>
    </row>
    <row r="156" ht="15.75" customHeight="1">
      <c r="A156" s="10"/>
      <c r="B156" s="36" t="s">
        <v>235</v>
      </c>
      <c r="C156" s="37">
        <f>SUMIF(Carico!$B$3:$B$975,B156,Carico!$C$3:$C$975)-(SUMIF(Scarico!$B$3:$B$997,B156,Scarico!$C$3:$C$997))+$D$4:$D$987</f>
        <v>4</v>
      </c>
      <c r="D156" s="38"/>
      <c r="E156" s="9"/>
      <c r="F156" s="40">
        <f t="shared" si="3"/>
        <v>0</v>
      </c>
    </row>
    <row r="157" ht="15.75" customHeight="1">
      <c r="A157" s="10"/>
      <c r="B157" s="36" t="s">
        <v>38</v>
      </c>
      <c r="C157" s="37">
        <f>SUMIF(Carico!$B$3:$B$975,B157,Carico!$C$3:$C$975)-(SUMIF(Scarico!$B$3:$B$997,B157,Scarico!$C$3:$C$997))+$D$4:$D$987</f>
        <v>12</v>
      </c>
      <c r="D157" s="38"/>
      <c r="E157" s="39">
        <v>2.99</v>
      </c>
      <c r="F157" s="40">
        <f t="shared" si="3"/>
        <v>35.88</v>
      </c>
    </row>
    <row r="158" ht="15.75" customHeight="1">
      <c r="A158" s="10"/>
      <c r="B158" s="36" t="s">
        <v>162</v>
      </c>
      <c r="C158" s="37">
        <f>SUMIF(Carico!$B$3:$B$975,B158,Carico!$C$3:$C$975)-(SUMIF(Scarico!$B$3:$B$997,B158,Scarico!$C$3:$C$997))+$D$4:$D$987</f>
        <v>3</v>
      </c>
      <c r="D158" s="38"/>
      <c r="E158" s="9"/>
      <c r="F158" s="40">
        <f t="shared" si="3"/>
        <v>0</v>
      </c>
    </row>
    <row r="159" ht="15.75" customHeight="1">
      <c r="A159" s="10"/>
      <c r="B159" s="36" t="s">
        <v>159</v>
      </c>
      <c r="C159" s="37">
        <f>SUMIF(Carico!$B$3:$B$975,B159,Carico!$C$3:$C$975)-(SUMIF(Scarico!$B$3:$B$997,B159,Scarico!$C$3:$C$997))+$D$4:$D$987</f>
        <v>2</v>
      </c>
      <c r="D159" s="38"/>
      <c r="E159" s="9"/>
      <c r="F159" s="40">
        <f t="shared" si="3"/>
        <v>0</v>
      </c>
    </row>
    <row r="160" ht="15.75" customHeight="1">
      <c r="A160" s="10"/>
      <c r="B160" s="36" t="s">
        <v>237</v>
      </c>
      <c r="C160" s="37">
        <f>SUMIF(Carico!$B$3:$B$975,B160,Carico!$C$3:$C$975)-(SUMIF(Scarico!$B$3:$B$997,B160,Scarico!$C$3:$C$997))+$D$4:$D$987</f>
        <v>-8</v>
      </c>
      <c r="D160" s="38"/>
      <c r="E160" s="9"/>
      <c r="F160" s="40">
        <f t="shared" si="3"/>
        <v>0</v>
      </c>
    </row>
    <row r="161" ht="15.75" customHeight="1">
      <c r="A161" s="10"/>
      <c r="B161" s="36" t="s">
        <v>170</v>
      </c>
      <c r="C161" s="37">
        <f>SUMIF(Carico!$B$3:$B$975,B161,Carico!$C$3:$C$975)-(SUMIF(Scarico!$B$3:$B$997,B161,Scarico!$C$3:$C$997))+$D$4:$D$987</f>
        <v>30</v>
      </c>
      <c r="D161" s="38"/>
      <c r="E161" s="39">
        <v>2.49</v>
      </c>
      <c r="F161" s="40">
        <f t="shared" si="3"/>
        <v>74.7</v>
      </c>
    </row>
    <row r="162" ht="15.75" customHeight="1">
      <c r="A162" s="10"/>
      <c r="B162" s="36" t="s">
        <v>89</v>
      </c>
      <c r="C162" s="37">
        <f>SUMIF(Carico!$B$3:$B$975,B162,Carico!$C$3:$C$975)-(SUMIF(Scarico!$B$3:$B$997,B162,Scarico!$C$3:$C$997))+$D$4:$D$987</f>
        <v>5</v>
      </c>
      <c r="D162" s="38"/>
      <c r="E162" s="9"/>
      <c r="F162" s="40">
        <f t="shared" si="3"/>
        <v>0</v>
      </c>
    </row>
    <row r="163" ht="15.75" customHeight="1">
      <c r="A163" s="10"/>
      <c r="B163" s="36" t="s">
        <v>238</v>
      </c>
      <c r="C163" s="37">
        <f>SUMIF(Carico!$B$3:$B$975,B163,Carico!$C$3:$C$975)-(SUMIF(Scarico!$B$3:$B$997,B163,Scarico!$C$3:$C$997))+$D$4:$D$987</f>
        <v>0</v>
      </c>
      <c r="D163" s="38"/>
      <c r="E163" s="9"/>
      <c r="F163" s="40">
        <f t="shared" si="3"/>
        <v>0</v>
      </c>
    </row>
    <row r="164" ht="15.75" customHeight="1">
      <c r="A164" s="10"/>
      <c r="B164" s="36" t="s">
        <v>239</v>
      </c>
      <c r="C164" s="37">
        <f>SUMIF(Carico!$B$3:$B$975,B164,Carico!$C$3:$C$975)-(SUMIF(Scarico!$B$3:$B$997,B164,Scarico!$C$3:$C$997))+$D$4:$D$987</f>
        <v>0</v>
      </c>
      <c r="D164" s="38"/>
      <c r="E164" s="9"/>
      <c r="F164" s="40">
        <f t="shared" si="3"/>
        <v>0</v>
      </c>
    </row>
    <row r="165" ht="15.75" customHeight="1">
      <c r="A165" s="10"/>
      <c r="B165" s="36" t="s">
        <v>138</v>
      </c>
      <c r="C165" s="37">
        <f>SUMIF(Carico!$B$3:$B$975,B165,Carico!$C$3:$C$975)-(SUMIF(Scarico!$B$3:$B$997,B165,Scarico!$C$3:$C$997))+$D$4:$D$987</f>
        <v>4</v>
      </c>
      <c r="D165" s="38"/>
      <c r="E165" s="9"/>
      <c r="F165" s="46">
        <v>5.36</v>
      </c>
    </row>
    <row r="166" ht="15.75" customHeight="1">
      <c r="A166" s="10"/>
      <c r="B166" s="36" t="s">
        <v>136</v>
      </c>
      <c r="C166" s="37">
        <f>SUMIF(Carico!$B$3:$B$975,B166,Carico!$C$3:$C$975)-(SUMIF(Scarico!$B$3:$B$997,B166,Scarico!$C$3:$C$997))+$D$4:$D$987</f>
        <v>3</v>
      </c>
      <c r="D166" s="38"/>
      <c r="E166" s="9"/>
      <c r="F166" s="40">
        <f>E166*C166</f>
        <v>0</v>
      </c>
    </row>
    <row r="167" ht="15.75" customHeight="1">
      <c r="A167" s="10"/>
      <c r="B167" s="36" t="s">
        <v>197</v>
      </c>
      <c r="C167" s="37">
        <f>SUMIF(Carico!$B$3:$B$975,B167,Carico!$C$3:$C$975)-(SUMIF(Scarico!$B$3:$B$997,B167,Scarico!$C$3:$C$997))+$D$4:$D$987</f>
        <v>8</v>
      </c>
      <c r="D167" s="38"/>
      <c r="E167" s="9"/>
      <c r="F167" s="46">
        <v>2.68</v>
      </c>
    </row>
    <row r="168" ht="15.75" customHeight="1">
      <c r="A168" s="10"/>
      <c r="B168" s="36" t="s">
        <v>241</v>
      </c>
      <c r="C168" s="37">
        <f>SUMIF(Carico!$B$3:$B$975,B168,Carico!$C$3:$C$975)-(SUMIF(Scarico!$B$3:$B$997,B168,Scarico!$C$3:$C$997))+$D$4:$D$987</f>
        <v>0</v>
      </c>
      <c r="D168" s="38"/>
      <c r="E168" s="9"/>
      <c r="F168" s="40">
        <f t="shared" ref="F168:F495" si="4">E168*C168</f>
        <v>0</v>
      </c>
    </row>
    <row r="169" ht="15.75" customHeight="1">
      <c r="A169" s="10"/>
      <c r="B169" s="36" t="s">
        <v>242</v>
      </c>
      <c r="C169" s="37">
        <f>SUMIF(Carico!$B$3:$B$975,B169,Carico!$C$3:$C$975)-(SUMIF(Scarico!$B$3:$B$997,B169,Scarico!$C$3:$C$997))+$D$4:$D$987</f>
        <v>0</v>
      </c>
      <c r="D169" s="38"/>
      <c r="E169" s="9"/>
      <c r="F169" s="40">
        <f t="shared" si="4"/>
        <v>0</v>
      </c>
    </row>
    <row r="170" ht="15.75" customHeight="1">
      <c r="A170" s="10"/>
      <c r="B170" s="36" t="s">
        <v>243</v>
      </c>
      <c r="C170" s="37">
        <f>SUMIF(Carico!$B$3:$B$975,B170,Carico!$C$3:$C$975)-(SUMIF(Scarico!$B$3:$B$997,B170,Scarico!$C$3:$C$997))+$D$4:$D$987</f>
        <v>3</v>
      </c>
      <c r="D170" s="38"/>
      <c r="E170" s="9"/>
      <c r="F170" s="40">
        <f t="shared" si="4"/>
        <v>0</v>
      </c>
    </row>
    <row r="171" ht="15.75" customHeight="1">
      <c r="A171" s="10"/>
      <c r="B171" s="36" t="s">
        <v>83</v>
      </c>
      <c r="C171" s="37">
        <f>SUMIF(Carico!$B$3:$B$975,B171,Carico!$C$3:$C$975)-(SUMIF(Scarico!$B$3:$B$997,B171,Scarico!$C$3:$C$997))+$D$4:$D$987</f>
        <v>10</v>
      </c>
      <c r="D171" s="38"/>
      <c r="E171" s="39">
        <v>0.95</v>
      </c>
      <c r="F171" s="40">
        <f t="shared" si="4"/>
        <v>9.5</v>
      </c>
    </row>
    <row r="172" ht="15.75" customHeight="1">
      <c r="A172" s="10"/>
      <c r="B172" s="36" t="s">
        <v>165</v>
      </c>
      <c r="C172" s="37">
        <f>SUMIF(Carico!$B$3:$B$975,B172,Carico!$C$3:$C$975)-(SUMIF(Scarico!$B$3:$B$997,B172,Scarico!$C$3:$C$997))+$D$4:$D$987</f>
        <v>11</v>
      </c>
      <c r="D172" s="38"/>
      <c r="E172" s="9"/>
      <c r="F172" s="40">
        <f t="shared" si="4"/>
        <v>0</v>
      </c>
    </row>
    <row r="173" ht="15.75" customHeight="1">
      <c r="A173" s="10"/>
      <c r="B173" s="36" t="s">
        <v>245</v>
      </c>
      <c r="C173" s="37">
        <f>SUMIF(Carico!$B$3:$B$975,B173,Carico!$C$3:$C$975)-(SUMIF(Scarico!$B$3:$B$997,B173,Scarico!$C$3:$C$997))+$D$4:$D$987</f>
        <v>3</v>
      </c>
      <c r="D173" s="38"/>
      <c r="E173" s="9"/>
      <c r="F173" s="40">
        <f t="shared" si="4"/>
        <v>0</v>
      </c>
    </row>
    <row r="174" ht="15.75" customHeight="1">
      <c r="A174" s="10"/>
      <c r="B174" s="36" t="s">
        <v>226</v>
      </c>
      <c r="C174" s="37">
        <f>SUMIF(Carico!$B$3:$B$975,B174,Carico!$C$3:$C$975)-(SUMIF(Scarico!$B$3:$B$997,B174,Scarico!$C$3:$C$997))+$D$4:$D$987</f>
        <v>25</v>
      </c>
      <c r="D174" s="38"/>
      <c r="E174" s="9"/>
      <c r="F174" s="40">
        <f t="shared" si="4"/>
        <v>0</v>
      </c>
    </row>
    <row r="175" ht="15.75" customHeight="1">
      <c r="A175" s="10"/>
      <c r="B175" s="36" t="s">
        <v>248</v>
      </c>
      <c r="C175" s="37">
        <f>SUMIF(Carico!$B$3:$B$975,B175,Carico!$C$3:$C$975)-(SUMIF(Scarico!$B$3:$B$997,B175,Scarico!$C$3:$C$997))+$D$4:$D$987</f>
        <v>0</v>
      </c>
      <c r="D175" s="38"/>
      <c r="E175" s="9"/>
      <c r="F175" s="40">
        <f t="shared" si="4"/>
        <v>0</v>
      </c>
    </row>
    <row r="176" ht="15.75" customHeight="1">
      <c r="A176" s="10"/>
      <c r="B176" s="36" t="s">
        <v>52</v>
      </c>
      <c r="C176" s="37">
        <f>SUMIF(Carico!$B$3:$B$975,B176,Carico!$C$3:$C$975)-(SUMIF(Scarico!$B$3:$B$997,B176,Scarico!$C$3:$C$997))+$D$4:$D$987</f>
        <v>18</v>
      </c>
      <c r="D176" s="38"/>
      <c r="E176" s="9"/>
      <c r="F176" s="40">
        <f t="shared" si="4"/>
        <v>0</v>
      </c>
    </row>
    <row r="177" ht="15.75" customHeight="1">
      <c r="A177" s="10"/>
      <c r="B177" s="36" t="s">
        <v>33</v>
      </c>
      <c r="C177" s="37">
        <f>SUMIF(Carico!$B$3:$B$975,B177,Carico!$C$3:$C$975)-(SUMIF(Scarico!$B$3:$B$997,B177,Scarico!$C$3:$C$997))+$D$4:$D$987</f>
        <v>1</v>
      </c>
      <c r="D177" s="38"/>
      <c r="E177" s="9"/>
      <c r="F177" s="40">
        <f t="shared" si="4"/>
        <v>0</v>
      </c>
    </row>
    <row r="178" ht="15.75" customHeight="1">
      <c r="A178" s="10"/>
      <c r="B178" s="36" t="s">
        <v>251</v>
      </c>
      <c r="C178" s="37">
        <f>SUMIF(Carico!$B$3:$B$975,B178,Carico!$C$3:$C$975)-(SUMIF(Scarico!$B$3:$B$997,B178,Scarico!$C$3:$C$997))+$D$4:$D$987</f>
        <v>4</v>
      </c>
      <c r="D178" s="38"/>
      <c r="E178" s="9"/>
      <c r="F178" s="40">
        <f t="shared" si="4"/>
        <v>0</v>
      </c>
    </row>
    <row r="179" ht="15.75" customHeight="1">
      <c r="A179" s="10"/>
      <c r="B179" s="36" t="s">
        <v>253</v>
      </c>
      <c r="C179" s="37">
        <f>SUMIF(Carico!$B$3:$B$975,B179,Carico!$C$3:$C$975)-(SUMIF(Scarico!$B$3:$B$997,B179,Scarico!$C$3:$C$997))+$D$4:$D$987</f>
        <v>2</v>
      </c>
      <c r="D179" s="38"/>
      <c r="E179" s="9"/>
      <c r="F179" s="40">
        <f t="shared" si="4"/>
        <v>0</v>
      </c>
    </row>
    <row r="180" ht="15.75" customHeight="1">
      <c r="A180" s="10"/>
      <c r="B180" s="36" t="s">
        <v>59</v>
      </c>
      <c r="C180" s="37">
        <f>SUMIF(Carico!$B$3:$B$975,B180,Carico!$C$3:$C$975)-(SUMIF(Scarico!$B$3:$B$997,B180,Scarico!$C$3:$C$997))+$D$4:$D$987</f>
        <v>27</v>
      </c>
      <c r="D180" s="38"/>
      <c r="E180" s="39">
        <v>1.49</v>
      </c>
      <c r="F180" s="40">
        <f t="shared" si="4"/>
        <v>40.23</v>
      </c>
    </row>
    <row r="181" ht="15.75" customHeight="1">
      <c r="A181" s="10"/>
      <c r="B181" s="36" t="s">
        <v>254</v>
      </c>
      <c r="C181" s="37">
        <f>SUMIF(Carico!$B$3:$B$975,B181,Carico!$C$3:$C$975)-(SUMIF(Scarico!$B$3:$B$997,B181,Scarico!$C$3:$C$997))+$D$4:$D$987</f>
        <v>2</v>
      </c>
      <c r="D181" s="38"/>
      <c r="E181" s="9"/>
      <c r="F181" s="40">
        <f t="shared" si="4"/>
        <v>0</v>
      </c>
    </row>
    <row r="182" ht="15.75" customHeight="1">
      <c r="A182" s="10"/>
      <c r="B182" s="36" t="s">
        <v>255</v>
      </c>
      <c r="C182" s="37">
        <f>SUMIF(Carico!$B$3:$B$975,B182,Carico!$C$3:$C$975)-(SUMIF(Scarico!$B$3:$B$997,B182,Scarico!$C$3:$C$997))+$D$4:$D$987</f>
        <v>2</v>
      </c>
      <c r="D182" s="38"/>
      <c r="E182" s="9"/>
      <c r="F182" s="40">
        <f t="shared" si="4"/>
        <v>0</v>
      </c>
    </row>
    <row r="183" ht="15.75" customHeight="1">
      <c r="A183" s="10"/>
      <c r="B183" s="36" t="s">
        <v>18</v>
      </c>
      <c r="C183" s="37">
        <f>SUMIF(Carico!$B$3:$B$975,B183,Carico!$C$3:$C$975)-(SUMIF(Scarico!$B$3:$B$997,B183,Scarico!$C$3:$C$997))+$D$4:$D$987</f>
        <v>10</v>
      </c>
      <c r="D183" s="38"/>
      <c r="E183" s="39">
        <v>1.79</v>
      </c>
      <c r="F183" s="40">
        <f t="shared" si="4"/>
        <v>17.9</v>
      </c>
    </row>
    <row r="184" ht="15.75" customHeight="1">
      <c r="A184" s="10"/>
      <c r="B184" s="36" t="s">
        <v>45</v>
      </c>
      <c r="C184" s="37">
        <f>SUMIF(Carico!$B$3:$B$975,B184,Carico!$C$3:$C$975)-(SUMIF(Scarico!$B$3:$B$997,B184,Scarico!$C$3:$C$997))+$D$4:$D$987</f>
        <v>102</v>
      </c>
      <c r="D184" s="38"/>
      <c r="E184" s="9"/>
      <c r="F184" s="40">
        <f t="shared" si="4"/>
        <v>0</v>
      </c>
    </row>
    <row r="185" ht="15.75" customHeight="1">
      <c r="A185" s="10"/>
      <c r="B185" s="36" t="s">
        <v>252</v>
      </c>
      <c r="C185" s="37">
        <f>SUMIF(Carico!$B$3:$B$975,B185,Carico!$C$3:$C$975)-(SUMIF(Scarico!$B$3:$B$997,B185,Scarico!$C$3:$C$997))+$D$4:$D$987</f>
        <v>3</v>
      </c>
      <c r="D185" s="38"/>
      <c r="E185" s="9"/>
      <c r="F185" s="40">
        <f t="shared" si="4"/>
        <v>0</v>
      </c>
    </row>
    <row r="186" ht="15.75" customHeight="1">
      <c r="A186" s="10"/>
      <c r="B186" s="36" t="s">
        <v>256</v>
      </c>
      <c r="C186" s="37">
        <f>SUMIF(Carico!$B$3:$B$975,B186,Carico!$C$3:$C$975)-(SUMIF(Scarico!$B$3:$B$997,B186,Scarico!$C$3:$C$997))+$D$4:$D$987</f>
        <v>0</v>
      </c>
      <c r="D186" s="38"/>
      <c r="E186" s="9"/>
      <c r="F186" s="40">
        <f t="shared" si="4"/>
        <v>0</v>
      </c>
    </row>
    <row r="187" ht="15.75" customHeight="1">
      <c r="A187" s="10"/>
      <c r="B187" s="36" t="s">
        <v>257</v>
      </c>
      <c r="C187" s="37">
        <f>SUMIF(Carico!$B$3:$B$975,B187,Carico!$C$3:$C$975)-(SUMIF(Scarico!$B$3:$B$997,B187,Scarico!$C$3:$C$997))+$D$4:$D$987</f>
        <v>0</v>
      </c>
      <c r="D187" s="54"/>
      <c r="E187" s="9"/>
      <c r="F187" s="40">
        <f t="shared" si="4"/>
        <v>0</v>
      </c>
    </row>
    <row r="188" ht="15.75" customHeight="1">
      <c r="A188" s="10"/>
      <c r="B188" s="36" t="s">
        <v>94</v>
      </c>
      <c r="C188" s="37">
        <f>SUMIF(Carico!$B$3:$B$975,B188,Carico!$C$3:$C$975)-(SUMIF(Scarico!$B$3:$B$997,B188,Scarico!$C$3:$C$997))+$D$4:$D$987</f>
        <v>4</v>
      </c>
      <c r="D188" s="54"/>
      <c r="E188" s="9"/>
      <c r="F188" s="40">
        <f t="shared" si="4"/>
        <v>0</v>
      </c>
    </row>
    <row r="189" ht="15.75" customHeight="1">
      <c r="A189" s="10"/>
      <c r="B189" s="36" t="s">
        <v>32</v>
      </c>
      <c r="C189" s="37">
        <f>SUMIF(Carico!$B$3:$B$975,B189,Carico!$C$3:$C$975)-(SUMIF(Scarico!$B$3:$B$997,B189,Scarico!$C$3:$C$997))+$D$4:$D$987</f>
        <v>21</v>
      </c>
      <c r="D189" s="38"/>
      <c r="E189" s="39">
        <v>4.68</v>
      </c>
      <c r="F189" s="40">
        <f t="shared" si="4"/>
        <v>98.28</v>
      </c>
    </row>
    <row r="190" ht="15.75" customHeight="1">
      <c r="A190" s="10"/>
      <c r="B190" s="36" t="s">
        <v>130</v>
      </c>
      <c r="C190" s="37">
        <f>SUMIF(Carico!$B$3:$B$975,B190,Carico!$C$3:$C$975)-(SUMIF(Scarico!$B$3:$B$997,B190,Scarico!$C$3:$C$997))+$D$4:$D$987</f>
        <v>-5</v>
      </c>
      <c r="D190" s="38"/>
      <c r="E190" s="9"/>
      <c r="F190" s="40">
        <f t="shared" si="4"/>
        <v>0</v>
      </c>
    </row>
    <row r="191" ht="15.75" customHeight="1">
      <c r="A191" s="10"/>
      <c r="B191" s="36" t="s">
        <v>66</v>
      </c>
      <c r="C191" s="37">
        <f>SUMIF(Carico!$B$3:$B$975,B191,Carico!$C$3:$C$975)-(SUMIF(Scarico!$B$3:$B$997,B191,Scarico!$C$3:$C$997))+$D$4:$D$987</f>
        <v>29</v>
      </c>
      <c r="D191" s="38"/>
      <c r="E191" s="39">
        <v>0.99</v>
      </c>
      <c r="F191" s="40">
        <f t="shared" si="4"/>
        <v>28.71</v>
      </c>
    </row>
    <row r="192" ht="15.75" customHeight="1">
      <c r="A192" s="10"/>
      <c r="B192" s="36" t="s">
        <v>15</v>
      </c>
      <c r="C192" s="37">
        <f>SUMIF(Carico!$B$3:$B$975,B192,Carico!$C$3:$C$975)-(SUMIF(Scarico!$B$3:$B$997,B192,Scarico!$C$3:$C$997))+$D$4:$D$987</f>
        <v>32</v>
      </c>
      <c r="D192" s="38"/>
      <c r="E192" s="39">
        <v>1.39</v>
      </c>
      <c r="F192" s="40">
        <f t="shared" si="4"/>
        <v>44.48</v>
      </c>
    </row>
    <row r="193" ht="15.75" customHeight="1">
      <c r="A193" s="10"/>
      <c r="B193" s="36" t="s">
        <v>259</v>
      </c>
      <c r="C193" s="37">
        <f>SUMIF(Carico!$B$3:$B$975,B193,Carico!$C$3:$C$975)-(SUMIF(Scarico!$B$3:$B$997,B193,Scarico!$C$3:$C$997))+$D$4:$D$987</f>
        <v>0</v>
      </c>
      <c r="D193" s="38"/>
      <c r="E193" s="9"/>
      <c r="F193" s="40">
        <f t="shared" si="4"/>
        <v>0</v>
      </c>
    </row>
    <row r="194" ht="15.75" customHeight="1">
      <c r="A194" s="10"/>
      <c r="B194" s="36" t="s">
        <v>164</v>
      </c>
      <c r="C194" s="37">
        <f>SUMIF(Carico!$B$3:$B$975,B194,Carico!$C$3:$C$975)-(SUMIF(Scarico!$B$3:$B$997,B194,Scarico!$C$3:$C$997))+$D$4:$D$987</f>
        <v>-9</v>
      </c>
      <c r="D194" s="38"/>
      <c r="E194" s="9"/>
      <c r="F194" s="40">
        <f t="shared" si="4"/>
        <v>0</v>
      </c>
    </row>
    <row r="195" ht="15.75" customHeight="1">
      <c r="A195" s="10"/>
      <c r="B195" s="36" t="s">
        <v>54</v>
      </c>
      <c r="C195" s="37">
        <f>SUMIF(Carico!$B$3:$B$975,B195,Carico!$C$3:$C$975)-(SUMIF(Scarico!$B$3:$B$997,B195,Scarico!$C$3:$C$997))+$D$4:$D$987</f>
        <v>16</v>
      </c>
      <c r="D195" s="38"/>
      <c r="E195" s="39">
        <v>3.69</v>
      </c>
      <c r="F195" s="40">
        <f t="shared" si="4"/>
        <v>59.04</v>
      </c>
    </row>
    <row r="196" ht="15.75" customHeight="1">
      <c r="A196" s="10"/>
      <c r="B196" s="36" t="s">
        <v>51</v>
      </c>
      <c r="C196" s="37">
        <f>SUMIF(Carico!$B$3:$B$975,B196,Carico!$C$3:$C$975)-(SUMIF(Scarico!$B$3:$B$997,B196,Scarico!$C$3:$C$997))+$D$4:$D$987</f>
        <v>-8</v>
      </c>
      <c r="D196" s="38"/>
      <c r="E196" s="39">
        <v>2.79</v>
      </c>
      <c r="F196" s="40">
        <f t="shared" si="4"/>
        <v>-22.32</v>
      </c>
    </row>
    <row r="197" ht="15.75" customHeight="1">
      <c r="A197" s="10"/>
      <c r="B197" s="36" t="s">
        <v>82</v>
      </c>
      <c r="C197" s="37">
        <f>SUMIF(Carico!$B$3:$B$975,B197,Carico!$C$3:$C$975)-(SUMIF(Scarico!$B$3:$B$997,B197,Scarico!$C$3:$C$997))+$D$4:$D$987</f>
        <v>8</v>
      </c>
      <c r="D197" s="38"/>
      <c r="E197" s="39">
        <v>3.68</v>
      </c>
      <c r="F197" s="40">
        <f t="shared" si="4"/>
        <v>29.44</v>
      </c>
    </row>
    <row r="198" ht="15.75" customHeight="1">
      <c r="A198" s="10"/>
      <c r="B198" s="36" t="s">
        <v>85</v>
      </c>
      <c r="C198" s="37">
        <f>SUMIF(Carico!$B$3:$B$975,B198,Carico!$C$3:$C$975)-(SUMIF(Scarico!$B$3:$B$997,B198,Scarico!$C$3:$C$997))+$D$4:$D$987</f>
        <v>10</v>
      </c>
      <c r="D198" s="38"/>
      <c r="E198" s="39">
        <v>3.68</v>
      </c>
      <c r="F198" s="40">
        <f t="shared" si="4"/>
        <v>36.8</v>
      </c>
    </row>
    <row r="199" ht="15.75" customHeight="1">
      <c r="A199" s="10"/>
      <c r="B199" s="36" t="s">
        <v>99</v>
      </c>
      <c r="C199" s="37">
        <f>SUMIF(Carico!$B$3:$B$975,B199,Carico!$C$3:$C$975)-(SUMIF(Scarico!$B$3:$B$997,B199,Scarico!$C$3:$C$997))+$D$4:$D$987</f>
        <v>10</v>
      </c>
      <c r="D199" s="54"/>
      <c r="E199" s="39">
        <v>3.79</v>
      </c>
      <c r="F199" s="40">
        <f t="shared" si="4"/>
        <v>37.9</v>
      </c>
    </row>
    <row r="200" ht="15.75" customHeight="1">
      <c r="A200" s="10"/>
      <c r="B200" s="36" t="s">
        <v>92</v>
      </c>
      <c r="C200" s="37">
        <f>SUMIF(Carico!$B$3:$B$975,B200,Carico!$C$3:$C$975)-(SUMIF(Scarico!$B$3:$B$997,B200,Scarico!$C$3:$C$997))+$D$4:$D$987</f>
        <v>5</v>
      </c>
      <c r="D200" s="38"/>
      <c r="E200" s="9"/>
      <c r="F200" s="40">
        <f t="shared" si="4"/>
        <v>0</v>
      </c>
    </row>
    <row r="201" ht="15.75" customHeight="1">
      <c r="A201" s="10"/>
      <c r="B201" s="36" t="s">
        <v>260</v>
      </c>
      <c r="C201" s="37">
        <f>SUMIF(Carico!$B$3:$B$975,B201,Carico!$C$3:$C$975)-(SUMIF(Scarico!$B$3:$B$997,B201,Scarico!$C$3:$C$997))+$D$4:$D$987</f>
        <v>0</v>
      </c>
      <c r="D201" s="38"/>
      <c r="E201" s="9"/>
      <c r="F201" s="40">
        <f t="shared" si="4"/>
        <v>0</v>
      </c>
    </row>
    <row r="202" ht="15.75" customHeight="1">
      <c r="A202" s="10"/>
      <c r="B202" s="36" t="s">
        <v>132</v>
      </c>
      <c r="C202" s="37">
        <f>SUMIF(Carico!$B$3:$B$975,B202,Carico!$C$3:$C$975)-(SUMIF(Scarico!$B$3:$B$997,B202,Scarico!$C$3:$C$997))+$D$4:$D$987</f>
        <v>4</v>
      </c>
      <c r="D202" s="54"/>
      <c r="E202" s="9"/>
      <c r="F202" s="40">
        <f t="shared" si="4"/>
        <v>0</v>
      </c>
    </row>
    <row r="203" ht="15.75" customHeight="1">
      <c r="A203" s="10"/>
      <c r="B203" s="36" t="s">
        <v>261</v>
      </c>
      <c r="C203" s="37">
        <f>SUMIF(Carico!$B$3:$B$975,B203,Carico!$C$3:$C$975)-(SUMIF(Scarico!$B$3:$B$997,B203,Scarico!$C$3:$C$997))+$D$4:$D$987</f>
        <v>0</v>
      </c>
      <c r="D203" s="54"/>
      <c r="E203" s="9"/>
      <c r="F203" s="40">
        <f t="shared" si="4"/>
        <v>0</v>
      </c>
    </row>
    <row r="204" ht="15.75" customHeight="1">
      <c r="A204" s="10"/>
      <c r="B204" s="36" t="s">
        <v>49</v>
      </c>
      <c r="C204" s="37">
        <f>SUMIF(Carico!$B$3:$B$975,B204,Carico!$C$3:$C$975)-(SUMIF(Scarico!$B$3:$B$997,B204,Scarico!$C$3:$C$997))+$D$4:$D$987</f>
        <v>13</v>
      </c>
      <c r="D204" s="38"/>
      <c r="E204" s="39">
        <v>1.79</v>
      </c>
      <c r="F204" s="40">
        <f t="shared" si="4"/>
        <v>23.27</v>
      </c>
    </row>
    <row r="205" ht="15.75" customHeight="1">
      <c r="A205" s="10"/>
      <c r="B205" s="36" t="s">
        <v>118</v>
      </c>
      <c r="C205" s="37">
        <f>SUMIF(Carico!$B$3:$B$975,B205,Carico!$C$3:$C$975)-(SUMIF(Scarico!$B$3:$B$997,B205,Scarico!$C$3:$C$997))+$D$4:$D$987</f>
        <v>-2</v>
      </c>
      <c r="D205" s="38"/>
      <c r="E205" s="39">
        <v>1.88</v>
      </c>
      <c r="F205" s="40">
        <f t="shared" si="4"/>
        <v>-3.76</v>
      </c>
    </row>
    <row r="206" ht="15.75" customHeight="1">
      <c r="A206" s="10"/>
      <c r="B206" s="36" t="s">
        <v>263</v>
      </c>
      <c r="C206" s="37">
        <f>SUMIF(Carico!$B$3:$B$975,B206,Carico!$C$3:$C$975)-(SUMIF(Scarico!$B$3:$B$997,B206,Scarico!$C$3:$C$997))+$D$4:$D$987</f>
        <v>0</v>
      </c>
      <c r="D206" s="54"/>
      <c r="E206" s="9"/>
      <c r="F206" s="40">
        <f t="shared" si="4"/>
        <v>0</v>
      </c>
    </row>
    <row r="207" ht="15.75" customHeight="1">
      <c r="A207" s="10"/>
      <c r="B207" s="36" t="s">
        <v>141</v>
      </c>
      <c r="C207" s="37">
        <f>SUMIF(Carico!$B$3:$B$975,B207,Carico!$C$3:$C$975)-(SUMIF(Scarico!$B$3:$B$997,B207,Scarico!$C$3:$C$997))+$D$4:$D$987</f>
        <v>4</v>
      </c>
      <c r="D207" s="38"/>
      <c r="E207" s="9"/>
      <c r="F207" s="40">
        <f t="shared" si="4"/>
        <v>0</v>
      </c>
    </row>
    <row r="208" ht="15.75" customHeight="1">
      <c r="A208" s="10"/>
      <c r="B208" s="36" t="s">
        <v>264</v>
      </c>
      <c r="C208" s="37">
        <f>SUMIF(Carico!$B$3:$B$975,B208,Carico!$C$3:$C$975)-(SUMIF(Scarico!$B$3:$B$997,B208,Scarico!$C$3:$C$997))+$D$4:$D$987</f>
        <v>-1</v>
      </c>
      <c r="D208" s="38"/>
      <c r="E208" s="9"/>
      <c r="F208" s="40">
        <f t="shared" si="4"/>
        <v>0</v>
      </c>
    </row>
    <row r="209" ht="15.75" customHeight="1">
      <c r="B209" s="56" t="s">
        <v>244</v>
      </c>
      <c r="C209" s="37">
        <f>SUMIF(Carico!$B$3:$B$975,B209,Carico!$C$3:$C$975)-(SUMIF(Scarico!$B$3:$B$997,B209,Scarico!$C$3:$C$997))+$D$4:$D$987</f>
        <v>1</v>
      </c>
      <c r="D209" s="57"/>
      <c r="E209" s="58"/>
      <c r="F209" s="40">
        <f t="shared" si="4"/>
        <v>0</v>
      </c>
    </row>
    <row r="210" ht="15.75" customHeight="1">
      <c r="B210" s="56" t="s">
        <v>265</v>
      </c>
      <c r="C210" s="37">
        <f>SUMIF(Carico!$B$3:$B$975,B210,Carico!$C$3:$C$975)-(SUMIF(Scarico!$B$3:$B$997,B210,Scarico!$C$3:$C$997))+$D$4:$D$987</f>
        <v>15</v>
      </c>
      <c r="D210" s="59"/>
      <c r="E210" s="60">
        <v>2.99</v>
      </c>
      <c r="F210" s="40">
        <f t="shared" si="4"/>
        <v>44.85</v>
      </c>
    </row>
    <row r="211" ht="15.75" customHeight="1">
      <c r="B211" s="56" t="s">
        <v>56</v>
      </c>
      <c r="C211" s="37">
        <f>SUMIF(Carico!$B$3:$B$975,B211,Carico!$C$3:$C$975)-(SUMIF(Scarico!$B$3:$B$997,B211,Scarico!$C$3:$C$997))+$D$4:$D$987</f>
        <v>4</v>
      </c>
      <c r="D211" s="57"/>
      <c r="E211" s="60">
        <v>5.39</v>
      </c>
      <c r="F211" s="40">
        <f t="shared" si="4"/>
        <v>21.56</v>
      </c>
    </row>
    <row r="212" ht="15.75" customHeight="1">
      <c r="B212" s="56" t="s">
        <v>168</v>
      </c>
      <c r="C212" s="37">
        <f>SUMIF(Carico!$B$3:$B$975,B212,Carico!$C$3:$C$975)-(SUMIF(Scarico!$B$3:$B$997,B212,Scarico!$C$3:$C$997))+$D$4:$D$987</f>
        <v>5</v>
      </c>
      <c r="D212" s="59"/>
      <c r="E212" s="60">
        <v>1.29</v>
      </c>
      <c r="F212" s="40">
        <f t="shared" si="4"/>
        <v>6.45</v>
      </c>
    </row>
    <row r="213" ht="15.75" customHeight="1">
      <c r="B213" s="56" t="s">
        <v>157</v>
      </c>
      <c r="C213" s="37">
        <f>SUMIF(Carico!$B$3:$B$975,B213,Carico!$C$3:$C$975)-(SUMIF(Scarico!$B$3:$B$997,B213,Scarico!$C$3:$C$997))+$D$4:$D$987</f>
        <v>5</v>
      </c>
      <c r="D213" s="59"/>
      <c r="E213" s="60">
        <v>5.49</v>
      </c>
      <c r="F213" s="40">
        <f t="shared" si="4"/>
        <v>27.45</v>
      </c>
    </row>
    <row r="214" ht="15.75" customHeight="1">
      <c r="B214" s="56" t="s">
        <v>268</v>
      </c>
      <c r="C214" s="37">
        <f>SUMIF(Carico!$B$3:$B$975,B214,Carico!$C$3:$C$975)-(SUMIF(Scarico!$B$3:$B$997,B214,Scarico!$C$3:$C$997))+$D$4:$D$987</f>
        <v>0</v>
      </c>
      <c r="D214" s="59"/>
      <c r="E214" s="60">
        <v>4.49</v>
      </c>
      <c r="F214" s="40">
        <f t="shared" si="4"/>
        <v>0</v>
      </c>
    </row>
    <row r="215" ht="15.75" customHeight="1">
      <c r="B215" s="56" t="s">
        <v>240</v>
      </c>
      <c r="C215" s="37">
        <f>SUMIF(Carico!$B$3:$B$975,B215,Carico!$C$3:$C$975)-(SUMIF(Scarico!$B$3:$B$997,B215,Scarico!$C$3:$C$997))+$D$4:$D$987</f>
        <v>23</v>
      </c>
      <c r="D215" s="59"/>
      <c r="E215" s="58"/>
      <c r="F215" s="40">
        <f t="shared" si="4"/>
        <v>0</v>
      </c>
    </row>
    <row r="216" ht="15.75" customHeight="1">
      <c r="B216" s="56" t="s">
        <v>200</v>
      </c>
      <c r="C216" s="37">
        <f>SUMIF(Carico!$B$3:$B$975,B216,Carico!$C$3:$C$975)-(SUMIF(Scarico!$B$3:$B$997,B216,Scarico!$C$3:$C$997))+$D$4:$D$987</f>
        <v>-2</v>
      </c>
      <c r="D216" s="59"/>
      <c r="E216" s="58"/>
      <c r="F216" s="40">
        <f t="shared" si="4"/>
        <v>0</v>
      </c>
    </row>
    <row r="217" ht="15.75" customHeight="1">
      <c r="B217" s="56" t="s">
        <v>109</v>
      </c>
      <c r="C217" s="37">
        <f>SUMIF(Carico!$B$3:$B$975,B217,Carico!$C$3:$C$975)-(SUMIF(Scarico!$B$3:$B$997,B217,Scarico!$C$3:$C$997))+$D$4:$D$987</f>
        <v>5</v>
      </c>
      <c r="D217" s="59"/>
      <c r="E217" s="60"/>
      <c r="F217" s="40">
        <f t="shared" si="4"/>
        <v>0</v>
      </c>
    </row>
    <row r="218" ht="15.75" customHeight="1">
      <c r="B218" s="56" t="s">
        <v>180</v>
      </c>
      <c r="C218" s="37">
        <f>SUMIF(Carico!$B$3:$B$975,B218,Carico!$C$3:$C$975)-(SUMIF(Scarico!$B$3:$B$997,B218,Scarico!$C$3:$C$997))+$D$4:$D$987</f>
        <v>0</v>
      </c>
      <c r="D218" s="59"/>
      <c r="E218" s="60">
        <v>1.19</v>
      </c>
      <c r="F218" s="40">
        <f t="shared" si="4"/>
        <v>0</v>
      </c>
    </row>
    <row r="219" ht="15.75" customHeight="1">
      <c r="B219" s="56" t="s">
        <v>182</v>
      </c>
      <c r="C219" s="37">
        <f>SUMIF(Carico!$B$3:$B$975,B219,Carico!$C$3:$C$975)-(SUMIF(Scarico!$B$3:$B$997,B219,Scarico!$C$3:$C$997))+$D$4:$D$987</f>
        <v>3</v>
      </c>
      <c r="D219" s="59"/>
      <c r="E219" s="60">
        <v>1.19</v>
      </c>
      <c r="F219" s="40">
        <f t="shared" si="4"/>
        <v>3.57</v>
      </c>
    </row>
    <row r="220" ht="15.75" customHeight="1">
      <c r="B220" s="56" t="s">
        <v>269</v>
      </c>
      <c r="C220" s="37">
        <f>SUMIF(Carico!$B$3:$B$975,B220,Carico!$C$3:$C$975)-(SUMIF(Scarico!$B$3:$B$997,B220,Scarico!$C$3:$C$997))+$D$4:$D$987</f>
        <v>0</v>
      </c>
      <c r="D220" s="59"/>
      <c r="E220" s="58"/>
      <c r="F220" s="40">
        <f t="shared" si="4"/>
        <v>0</v>
      </c>
    </row>
    <row r="221" ht="15.75" customHeight="1">
      <c r="B221" s="56" t="s">
        <v>270</v>
      </c>
      <c r="C221" s="37">
        <f>SUMIF(Carico!$B$3:$B$975,B221,Carico!$C$3:$C$975)-(SUMIF(Scarico!$B$3:$B$997,B221,Scarico!$C$3:$C$997))+$D$4:$D$987</f>
        <v>0</v>
      </c>
      <c r="D221" s="59"/>
      <c r="E221" s="58"/>
      <c r="F221" s="40">
        <f t="shared" si="4"/>
        <v>0</v>
      </c>
    </row>
    <row r="222" ht="15.75" customHeight="1">
      <c r="B222" s="56" t="s">
        <v>271</v>
      </c>
      <c r="C222" s="37">
        <f>SUMIF(Carico!$B$3:$B$975,B222,Carico!$C$3:$C$975)-(SUMIF(Scarico!$B$3:$B$997,B222,Scarico!$C$3:$C$997))+$D$4:$D$987</f>
        <v>0</v>
      </c>
      <c r="D222" s="57"/>
      <c r="E222" s="58"/>
      <c r="F222" s="40">
        <f t="shared" si="4"/>
        <v>0</v>
      </c>
    </row>
    <row r="223" ht="15.75" customHeight="1">
      <c r="B223" s="56" t="s">
        <v>272</v>
      </c>
      <c r="C223" s="37">
        <f>SUMIF(Carico!$B$3:$B$975,B223,Carico!$C$3:$C$975)-(SUMIF(Scarico!$B$3:$B$997,B223,Scarico!$C$3:$C$997))+$D$4:$D$987</f>
        <v>0</v>
      </c>
      <c r="D223" s="57"/>
      <c r="E223" s="58"/>
      <c r="F223" s="40">
        <f t="shared" si="4"/>
        <v>0</v>
      </c>
    </row>
    <row r="224" ht="15.75" customHeight="1">
      <c r="B224" s="56" t="s">
        <v>273</v>
      </c>
      <c r="C224" s="37">
        <f>SUMIF(Carico!$B$3:$B$975,B224,Carico!$C$3:$C$975)-(SUMIF(Scarico!$B$3:$B$997,B224,Scarico!$C$3:$C$997))+$D$4:$D$987</f>
        <v>0</v>
      </c>
      <c r="D224" s="57"/>
      <c r="E224" s="58"/>
      <c r="F224" s="40">
        <f t="shared" si="4"/>
        <v>0</v>
      </c>
    </row>
    <row r="225" ht="15.75" customHeight="1">
      <c r="B225" s="56" t="s">
        <v>174</v>
      </c>
      <c r="C225" s="37">
        <f>SUMIF(Carico!$B$3:$B$975,B225,Carico!$C$3:$C$975)-(SUMIF(Scarico!$B$3:$B$997,B225,Scarico!$C$3:$C$997))+$D$4:$D$987</f>
        <v>7</v>
      </c>
      <c r="D225" s="59"/>
      <c r="E225" s="58"/>
      <c r="F225" s="40">
        <f t="shared" si="4"/>
        <v>0</v>
      </c>
    </row>
    <row r="226" ht="15.75" customHeight="1">
      <c r="B226" s="56" t="s">
        <v>274</v>
      </c>
      <c r="C226" s="37">
        <f>SUMIF(Carico!$B$3:$B$975,B226,Carico!$C$3:$C$975)-(SUMIF(Scarico!$B$3:$B$997,B226,Scarico!$C$3:$C$997))+$D$4:$D$987</f>
        <v>0</v>
      </c>
      <c r="D226" s="59"/>
      <c r="E226" s="58"/>
      <c r="F226" s="40">
        <f t="shared" si="4"/>
        <v>0</v>
      </c>
    </row>
    <row r="227" ht="15.75" customHeight="1">
      <c r="B227" s="56" t="s">
        <v>127</v>
      </c>
      <c r="C227" s="37">
        <f>SUMIF(Carico!$B$3:$B$975,B227,Carico!$C$3:$C$975)-(SUMIF(Scarico!$B$3:$B$997,B227,Scarico!$C$3:$C$997))+$D$4:$D$987</f>
        <v>3</v>
      </c>
      <c r="D227" s="59"/>
      <c r="E227" s="60">
        <v>2.88</v>
      </c>
      <c r="F227" s="40">
        <f t="shared" si="4"/>
        <v>8.64</v>
      </c>
    </row>
    <row r="228" ht="15.75" customHeight="1">
      <c r="B228" s="56" t="s">
        <v>218</v>
      </c>
      <c r="C228" s="37">
        <f>SUMIF(Carico!$B$3:$B$975,B228,Carico!$C$3:$C$975)-(SUMIF(Scarico!$B$3:$B$997,B228,Scarico!$C$3:$C$997))+$D$4:$D$987</f>
        <v>-1</v>
      </c>
      <c r="D228" s="59"/>
      <c r="E228" s="60">
        <v>2.5</v>
      </c>
      <c r="F228" s="40">
        <f t="shared" si="4"/>
        <v>-2.5</v>
      </c>
    </row>
    <row r="229" ht="15.75" customHeight="1">
      <c r="B229" s="56" t="s">
        <v>275</v>
      </c>
      <c r="C229" s="37">
        <f>SUMIF(Carico!$B$3:$B$975,B229,Carico!$C$3:$C$975)-(SUMIF(Scarico!$B$3:$B$997,B229,Scarico!$C$3:$C$997))+$D$4:$D$987</f>
        <v>0</v>
      </c>
      <c r="D229" s="57"/>
      <c r="E229" s="58"/>
      <c r="F229" s="40">
        <f t="shared" si="4"/>
        <v>0</v>
      </c>
    </row>
    <row r="230" ht="15.75" customHeight="1">
      <c r="B230" s="56" t="s">
        <v>119</v>
      </c>
      <c r="C230" s="37">
        <f>SUMIF(Carico!$B$3:$B$975,B230,Carico!$C$3:$C$975)-(SUMIF(Scarico!$B$3:$B$997,B230,Scarico!$C$3:$C$997))+$D$4:$D$987</f>
        <v>18</v>
      </c>
      <c r="D230" s="59"/>
      <c r="E230" s="60">
        <v>12.46</v>
      </c>
      <c r="F230" s="40">
        <f t="shared" si="4"/>
        <v>224.28</v>
      </c>
    </row>
    <row r="231" ht="15.75" customHeight="1">
      <c r="B231" s="56" t="s">
        <v>227</v>
      </c>
      <c r="C231" s="37">
        <f>SUMIF(Carico!$B$3:$B$975,B231,Carico!$C$3:$C$975)-(SUMIF(Scarico!$B$3:$B$997,B231,Scarico!$C$3:$C$997))+$D$4:$D$987</f>
        <v>3</v>
      </c>
      <c r="D231" s="59"/>
      <c r="E231" s="60">
        <v>4.49</v>
      </c>
      <c r="F231" s="40">
        <f t="shared" si="4"/>
        <v>13.47</v>
      </c>
    </row>
    <row r="232" ht="15.75" customHeight="1">
      <c r="B232" s="56" t="s">
        <v>16</v>
      </c>
      <c r="C232" s="37">
        <f>SUMIF(Carico!$B$3:$B$975,B232,Carico!$C$3:$C$975)-(SUMIF(Scarico!$B$3:$B$997,B232,Scarico!$C$3:$C$997))+$D$4:$D$987</f>
        <v>1</v>
      </c>
      <c r="D232" s="59"/>
      <c r="E232" s="60">
        <v>2.99</v>
      </c>
      <c r="F232" s="40">
        <f t="shared" si="4"/>
        <v>2.99</v>
      </c>
    </row>
    <row r="233" ht="15.75" customHeight="1">
      <c r="B233" s="56" t="s">
        <v>36</v>
      </c>
      <c r="C233" s="37">
        <f>SUMIF(Carico!$B$3:$B$975,B233,Carico!$C$3:$C$975)-(SUMIF(Scarico!$B$3:$B$997,B233,Scarico!$C$3:$C$997))+$D$4:$D$987</f>
        <v>31</v>
      </c>
      <c r="D233" s="59"/>
      <c r="E233" s="60">
        <v>8.45</v>
      </c>
      <c r="F233" s="40">
        <f t="shared" si="4"/>
        <v>261.95</v>
      </c>
    </row>
    <row r="234" ht="15.75" customHeight="1">
      <c r="B234" s="56" t="s">
        <v>68</v>
      </c>
      <c r="C234" s="37">
        <f>SUMIF(Carico!$B$3:$B$975,B234,Carico!$C$3:$C$975)-(SUMIF(Scarico!$B$3:$B$997,B234,Scarico!$C$3:$C$997))+$D$4:$D$987</f>
        <v>192</v>
      </c>
      <c r="D234" s="59"/>
      <c r="E234" s="58"/>
      <c r="F234" s="40">
        <f t="shared" si="4"/>
        <v>0</v>
      </c>
    </row>
    <row r="235" ht="15.75" customHeight="1">
      <c r="B235" s="56" t="s">
        <v>72</v>
      </c>
      <c r="C235" s="37">
        <f>SUMIF(Carico!$B$3:$B$975,B235,Carico!$C$3:$C$975)-(SUMIF(Scarico!$B$3:$B$997,B235,Scarico!$C$3:$C$997))+$D$4:$D$987</f>
        <v>3</v>
      </c>
      <c r="D235" s="59"/>
      <c r="E235" s="58"/>
      <c r="F235" s="40">
        <f t="shared" si="4"/>
        <v>0</v>
      </c>
    </row>
    <row r="236" ht="15.75" customHeight="1">
      <c r="B236" s="56" t="s">
        <v>140</v>
      </c>
      <c r="C236" s="37">
        <f>SUMIF(Carico!$B$3:$B$975,B236,Carico!$C$3:$C$975)-(SUMIF(Scarico!$B$3:$B$997,B236,Scarico!$C$3:$C$997))+$D$4:$D$987</f>
        <v>7</v>
      </c>
      <c r="D236" s="59"/>
      <c r="E236" s="58"/>
      <c r="F236" s="40">
        <f t="shared" si="4"/>
        <v>0</v>
      </c>
    </row>
    <row r="237" ht="15.75" customHeight="1">
      <c r="B237" s="56" t="s">
        <v>143</v>
      </c>
      <c r="C237" s="37">
        <f>SUMIF(Carico!$B$3:$B$975,B237,Carico!$C$3:$C$975)-(SUMIF(Scarico!$B$3:$B$997,B237,Scarico!$C$3:$C$997))+$D$4:$D$987</f>
        <v>5</v>
      </c>
      <c r="D237" s="59"/>
      <c r="E237" s="58"/>
      <c r="F237" s="40">
        <f t="shared" si="4"/>
        <v>0</v>
      </c>
    </row>
    <row r="238" ht="15.75" customHeight="1">
      <c r="B238" s="56" t="s">
        <v>206</v>
      </c>
      <c r="C238" s="37">
        <f>SUMIF(Carico!$B$3:$B$975,B238,Carico!$C$3:$C$975)-(SUMIF(Scarico!$B$3:$B$997,B238,Scarico!$C$3:$C$997))+$D$4:$D$987</f>
        <v>2</v>
      </c>
      <c r="D238" s="59"/>
      <c r="E238" s="58"/>
      <c r="F238" s="40">
        <f t="shared" si="4"/>
        <v>0</v>
      </c>
    </row>
    <row r="239" ht="15.75" customHeight="1">
      <c r="B239" s="56" t="s">
        <v>221</v>
      </c>
      <c r="C239" s="37">
        <f>SUMIF(Carico!$B$3:$B$975,B239,Carico!$C$3:$C$975)-(SUMIF(Scarico!$B$3:$B$997,B239,Scarico!$C$3:$C$997))+$D$4:$D$987</f>
        <v>21</v>
      </c>
      <c r="D239" s="59"/>
      <c r="E239" s="58"/>
      <c r="F239" s="40">
        <f t="shared" si="4"/>
        <v>0</v>
      </c>
    </row>
    <row r="240" ht="15.75" customHeight="1">
      <c r="B240" s="56" t="s">
        <v>179</v>
      </c>
      <c r="C240" s="37">
        <f>SUMIF(Carico!$B$3:$B$975,B240,Carico!$C$3:$C$975)-(SUMIF(Scarico!$B$3:$B$997,B240,Scarico!$C$3:$C$997))+$D$4:$D$987</f>
        <v>54</v>
      </c>
      <c r="D240" s="59"/>
      <c r="E240" s="58"/>
      <c r="F240" s="40">
        <f t="shared" si="4"/>
        <v>0</v>
      </c>
    </row>
    <row r="241" ht="15.75" customHeight="1">
      <c r="B241" s="56" t="s">
        <v>246</v>
      </c>
      <c r="C241" s="37">
        <f>SUMIF(Carico!$B$3:$B$975,B241,Carico!$C$3:$C$975)-(SUMIF(Scarico!$B$3:$B$997,B241,Scarico!$C$3:$C$997))+$D$4:$D$987</f>
        <v>2</v>
      </c>
      <c r="D241" s="59"/>
      <c r="E241" s="58"/>
      <c r="F241" s="40">
        <f t="shared" si="4"/>
        <v>0</v>
      </c>
    </row>
    <row r="242" ht="15.75" customHeight="1">
      <c r="B242" s="56" t="s">
        <v>249</v>
      </c>
      <c r="C242" s="37">
        <f>SUMIF(Carico!$B$3:$B$975,B242,Carico!$C$3:$C$975)-(SUMIF(Scarico!$B$3:$B$997,B242,Scarico!$C$3:$C$997))+$D$4:$D$987</f>
        <v>6</v>
      </c>
      <c r="D242" s="59"/>
      <c r="E242" s="58"/>
      <c r="F242" s="40">
        <f t="shared" si="4"/>
        <v>0</v>
      </c>
    </row>
    <row r="243" ht="15.75" customHeight="1">
      <c r="B243" s="56" t="s">
        <v>266</v>
      </c>
      <c r="C243" s="37">
        <f>SUMIF(Carico!$B$3:$B$975,B243,Carico!$C$3:$C$975)-(SUMIF(Scarico!$B$3:$B$997,B243,Scarico!$C$3:$C$997))+$D$4:$D$987</f>
        <v>1</v>
      </c>
      <c r="D243" s="59"/>
      <c r="E243" s="58"/>
      <c r="F243" s="40">
        <f t="shared" si="4"/>
        <v>0</v>
      </c>
    </row>
    <row r="244" ht="15.75" customHeight="1">
      <c r="B244" s="56" t="s">
        <v>231</v>
      </c>
      <c r="C244" s="37">
        <f>SUMIF(Carico!$B$3:$B$975,B244,Carico!$C$3:$C$975)-(SUMIF(Scarico!$B$3:$B$997,B244,Scarico!$C$3:$C$997))+$D$4:$D$987</f>
        <v>0</v>
      </c>
      <c r="D244" s="59"/>
      <c r="E244" s="58"/>
      <c r="F244" s="40">
        <f t="shared" si="4"/>
        <v>0</v>
      </c>
    </row>
    <row r="245" ht="15.75" customHeight="1">
      <c r="B245" s="56" t="s">
        <v>276</v>
      </c>
      <c r="C245" s="37">
        <f>SUMIF(Carico!$B$3:$B$975,B245,Carico!$C$3:$C$975)-(SUMIF(Scarico!$B$3:$B$997,B245,Scarico!$C$3:$C$997))+$D$4:$D$987</f>
        <v>4</v>
      </c>
      <c r="D245" s="59"/>
      <c r="E245" s="58"/>
      <c r="F245" s="40">
        <f t="shared" si="4"/>
        <v>0</v>
      </c>
    </row>
    <row r="246" ht="15.75" customHeight="1">
      <c r="B246" s="56" t="s">
        <v>277</v>
      </c>
      <c r="C246" s="37">
        <f>SUMIF(Carico!$B$3:$B$975,B246,Carico!$C$3:$C$975)-(SUMIF(Scarico!$B$3:$B$997,B246,Scarico!$C$3:$C$997))+$D$4:$D$987</f>
        <v>9</v>
      </c>
      <c r="D246" s="59"/>
      <c r="E246" s="58"/>
      <c r="F246" s="40">
        <f t="shared" si="4"/>
        <v>0</v>
      </c>
    </row>
    <row r="247" ht="15.75" customHeight="1">
      <c r="B247" s="56" t="s">
        <v>278</v>
      </c>
      <c r="C247" s="37">
        <f>SUMIF(Carico!$B$3:$B$975,B247,Carico!$C$3:$C$975)-(SUMIF(Scarico!$B$3:$B$997,B247,Scarico!$C$3:$C$997))+$D$4:$D$987</f>
        <v>5</v>
      </c>
      <c r="D247" s="59"/>
      <c r="E247" s="58"/>
      <c r="F247" s="40">
        <f t="shared" si="4"/>
        <v>0</v>
      </c>
    </row>
    <row r="248" ht="15.75" customHeight="1">
      <c r="B248" s="56" t="s">
        <v>279</v>
      </c>
      <c r="C248" s="37">
        <f>SUMIF(Carico!$B$3:$B$975,B248,Carico!$C$3:$C$975)-(SUMIF(Scarico!$B$3:$B$997,B248,Scarico!$C$3:$C$997))+$D$4:$D$987</f>
        <v>-2</v>
      </c>
      <c r="D248" s="59"/>
      <c r="E248" s="60">
        <v>5.95</v>
      </c>
      <c r="F248" s="40">
        <f t="shared" si="4"/>
        <v>-11.9</v>
      </c>
    </row>
    <row r="249" ht="15.75" customHeight="1">
      <c r="B249" s="65"/>
      <c r="C249" s="37">
        <f>SUMIF(Carico!$B$3:$B$975,B249,Carico!$C$3:$C$975)-(SUMIF(Scarico!$B$3:$B$997,B249,Scarico!$C$3:$C$997))+$D$4:$D$987</f>
        <v>0</v>
      </c>
      <c r="D249" s="59"/>
      <c r="E249" s="58"/>
      <c r="F249" s="40">
        <f t="shared" si="4"/>
        <v>0</v>
      </c>
    </row>
    <row r="250" ht="15.75" customHeight="1">
      <c r="B250" s="65"/>
      <c r="C250" s="37">
        <f>SUMIF(Carico!$B$3:$B$975,B250,Carico!$C$3:$C$975)-(SUMIF(Scarico!$B$3:$B$997,B250,Scarico!$C$3:$C$997))+$D$4:$D$987</f>
        <v>0</v>
      </c>
      <c r="D250" s="59"/>
      <c r="E250" s="58"/>
      <c r="F250" s="40">
        <f t="shared" si="4"/>
        <v>0</v>
      </c>
    </row>
    <row r="251" ht="15.75" customHeight="1">
      <c r="B251" s="65"/>
      <c r="C251" s="37">
        <f>SUMIF(Carico!$B$3:$B$975,B251,Carico!$C$3:$C$975)-(SUMIF(Scarico!$B$3:$B$997,B251,Scarico!$C$3:$C$997))+$D$4:$D$987</f>
        <v>0</v>
      </c>
      <c r="D251" s="59"/>
      <c r="E251" s="58"/>
      <c r="F251" s="40">
        <f t="shared" si="4"/>
        <v>0</v>
      </c>
    </row>
    <row r="252" ht="15.75" customHeight="1">
      <c r="B252" s="65"/>
      <c r="C252" s="37">
        <f>SUMIF(Carico!$B$3:$B$975,B252,Carico!$C$3:$C$975)-(SUMIF(Scarico!$B$3:$B$997,B252,Scarico!$C$3:$C$997))+$D$4:$D$987</f>
        <v>0</v>
      </c>
      <c r="D252" s="59"/>
      <c r="E252" s="58"/>
      <c r="F252" s="40">
        <f t="shared" si="4"/>
        <v>0</v>
      </c>
    </row>
    <row r="253" ht="15.75" customHeight="1">
      <c r="B253" s="65"/>
      <c r="C253" s="37">
        <f>SUMIF(Carico!$B$3:$B$975,B253,Carico!$C$3:$C$975)-(SUMIF(Scarico!$B$3:$B$997,B253,Scarico!$C$3:$C$997))+$D$4:$D$987</f>
        <v>0</v>
      </c>
      <c r="D253" s="59"/>
      <c r="E253" s="58"/>
      <c r="F253" s="40">
        <f t="shared" si="4"/>
        <v>0</v>
      </c>
    </row>
    <row r="254" ht="15.75" customHeight="1">
      <c r="B254" s="65"/>
      <c r="C254" s="37">
        <f>SUMIF(Carico!$B$3:$B$975,B254,Carico!$C$3:$C$975)-(SUMIF(Scarico!$B$3:$B$997,B254,Scarico!$C$3:$C$997))+$D$4:$D$987</f>
        <v>0</v>
      </c>
      <c r="D254" s="59"/>
      <c r="E254" s="58"/>
      <c r="F254" s="40">
        <f t="shared" si="4"/>
        <v>0</v>
      </c>
    </row>
    <row r="255" ht="15.75" customHeight="1">
      <c r="B255" s="65"/>
      <c r="C255" s="37">
        <f>SUMIF(Carico!$B$3:$B$975,B255,Carico!$C$3:$C$975)-(SUMIF(Scarico!$B$3:$B$997,B255,Scarico!$C$3:$C$997))+$D$4:$D$987</f>
        <v>0</v>
      </c>
      <c r="D255" s="59"/>
      <c r="E255" s="58"/>
      <c r="F255" s="40">
        <f t="shared" si="4"/>
        <v>0</v>
      </c>
    </row>
    <row r="256" ht="15.75" customHeight="1">
      <c r="B256" s="65"/>
      <c r="C256" s="37">
        <f>SUMIF(Carico!$B$3:$B$975,B256,Carico!$C$3:$C$975)-(SUMIF(Scarico!$B$3:$B$997,B256,Scarico!$C$3:$C$997))+$D$4:$D$987</f>
        <v>0</v>
      </c>
      <c r="D256" s="59"/>
      <c r="E256" s="58"/>
      <c r="F256" s="40">
        <f t="shared" si="4"/>
        <v>0</v>
      </c>
    </row>
    <row r="257" ht="15.75" customHeight="1">
      <c r="B257" s="65"/>
      <c r="C257" s="37">
        <f>SUMIF(Carico!$B$3:$B$975,B257,Carico!$C$3:$C$975)-(SUMIF(Scarico!$B$3:$B$997,B257,Scarico!$C$3:$C$997))+$D$4:$D$987</f>
        <v>0</v>
      </c>
      <c r="D257" s="59"/>
      <c r="E257" s="58"/>
      <c r="F257" s="40">
        <f t="shared" si="4"/>
        <v>0</v>
      </c>
    </row>
    <row r="258" ht="15.75" customHeight="1">
      <c r="B258" s="65"/>
      <c r="C258" s="37">
        <f>SUMIF(Carico!$B$3:$B$975,B258,Carico!$C$3:$C$975)-(SUMIF(Scarico!$B$3:$B$997,B258,Scarico!$C$3:$C$997))+$D$4:$D$987</f>
        <v>0</v>
      </c>
      <c r="D258" s="59"/>
      <c r="E258" s="58"/>
      <c r="F258" s="40">
        <f t="shared" si="4"/>
        <v>0</v>
      </c>
    </row>
    <row r="259" ht="15.75" customHeight="1">
      <c r="B259" s="65"/>
      <c r="C259" s="37">
        <f>SUMIF(Carico!$B$3:$B$975,B259,Carico!$C$3:$C$975)-(SUMIF(Scarico!$B$3:$B$997,B259,Scarico!$C$3:$C$997))+$D$4:$D$987</f>
        <v>0</v>
      </c>
      <c r="D259" s="59"/>
      <c r="E259" s="58"/>
      <c r="F259" s="40">
        <f t="shared" si="4"/>
        <v>0</v>
      </c>
    </row>
    <row r="260" ht="15.75" customHeight="1">
      <c r="B260" s="65"/>
      <c r="C260" s="37">
        <f>SUMIF(Carico!$B$3:$B$975,B260,Carico!$C$3:$C$975)-(SUMIF(Scarico!$B$3:$B$997,B260,Scarico!$C$3:$C$997))+$D$4:$D$987</f>
        <v>0</v>
      </c>
      <c r="D260" s="59"/>
      <c r="E260" s="58"/>
      <c r="F260" s="40">
        <f t="shared" si="4"/>
        <v>0</v>
      </c>
    </row>
    <row r="261" ht="15.75" customHeight="1">
      <c r="B261" s="65"/>
      <c r="C261" s="37">
        <f>SUMIF(Carico!$B$3:$B$975,B261,Carico!$C$3:$C$975)-(SUMIF(Scarico!$B$3:$B$997,B261,Scarico!$C$3:$C$997))+$D$4:$D$987</f>
        <v>0</v>
      </c>
      <c r="D261" s="59"/>
      <c r="E261" s="58"/>
      <c r="F261" s="40">
        <f t="shared" si="4"/>
        <v>0</v>
      </c>
    </row>
    <row r="262" ht="15.75" customHeight="1">
      <c r="B262" s="65"/>
      <c r="C262" s="37">
        <f>SUMIF(Carico!$B$3:$B$975,B262,Carico!$C$3:$C$975)-(SUMIF(Scarico!$B$3:$B$997,B262,Scarico!$C$3:$C$997))+$D$4:$D$987</f>
        <v>0</v>
      </c>
      <c r="D262" s="59"/>
      <c r="E262" s="58"/>
      <c r="F262" s="40">
        <f t="shared" si="4"/>
        <v>0</v>
      </c>
    </row>
    <row r="263" ht="15.75" customHeight="1">
      <c r="B263" s="65"/>
      <c r="C263" s="37">
        <f>SUMIF(Carico!$B$3:$B$975,B263,Carico!$C$3:$C$975)-(SUMIF(Scarico!$B$3:$B$997,B263,Scarico!$C$3:$C$997))+$D$4:$D$987</f>
        <v>0</v>
      </c>
      <c r="D263" s="59"/>
      <c r="E263" s="58"/>
      <c r="F263" s="40">
        <f t="shared" si="4"/>
        <v>0</v>
      </c>
    </row>
    <row r="264" ht="15.75" customHeight="1">
      <c r="B264" s="65"/>
      <c r="C264" s="37">
        <f>SUMIF(Carico!$B$3:$B$975,B264,Carico!$C$3:$C$975)-(SUMIF(Scarico!$B$3:$B$997,B264,Scarico!$C$3:$C$997))+$D$4:$D$987</f>
        <v>0</v>
      </c>
      <c r="D264" s="59"/>
      <c r="E264" s="58"/>
      <c r="F264" s="40">
        <f t="shared" si="4"/>
        <v>0</v>
      </c>
    </row>
    <row r="265" ht="15.75" customHeight="1">
      <c r="B265" s="65"/>
      <c r="C265" s="37">
        <f>SUMIF(Carico!$B$3:$B$975,B265,Carico!$C$3:$C$975)-(SUMIF(Scarico!$B$3:$B$997,B265,Scarico!$C$3:$C$997))+$D$4:$D$987</f>
        <v>0</v>
      </c>
      <c r="D265" s="59"/>
      <c r="E265" s="58"/>
      <c r="F265" s="40">
        <f t="shared" si="4"/>
        <v>0</v>
      </c>
    </row>
    <row r="266" ht="15.75" customHeight="1">
      <c r="B266" s="65"/>
      <c r="C266" s="37">
        <f>SUMIF(Carico!$B$3:$B$975,B266,Carico!$C$3:$C$975)-(SUMIF(Scarico!$B$3:$B$997,B266,Scarico!$C$3:$C$997))+$D$4:$D$987</f>
        <v>0</v>
      </c>
      <c r="D266" s="59"/>
      <c r="E266" s="58"/>
      <c r="F266" s="40">
        <f t="shared" si="4"/>
        <v>0</v>
      </c>
    </row>
    <row r="267" ht="15.75" customHeight="1">
      <c r="B267" s="65"/>
      <c r="C267" s="37">
        <f>SUMIF(Carico!$B$3:$B$975,B267,Carico!$C$3:$C$975)-(SUMIF(Scarico!$B$3:$B$997,B267,Scarico!$C$3:$C$997))+$D$4:$D$987</f>
        <v>0</v>
      </c>
      <c r="D267" s="59"/>
      <c r="E267" s="58"/>
      <c r="F267" s="40">
        <f t="shared" si="4"/>
        <v>0</v>
      </c>
    </row>
    <row r="268" ht="15.75" customHeight="1">
      <c r="B268" s="65"/>
      <c r="C268" s="37">
        <f>SUMIF(Carico!$B$3:$B$975,B268,Carico!$C$3:$C$975)-(SUMIF(Scarico!$B$3:$B$997,B268,Scarico!$C$3:$C$997))+$D$4:$D$987</f>
        <v>0</v>
      </c>
      <c r="D268" s="59"/>
      <c r="E268" s="58"/>
      <c r="F268" s="40">
        <f t="shared" si="4"/>
        <v>0</v>
      </c>
    </row>
    <row r="269" ht="15.75" customHeight="1">
      <c r="B269" s="65"/>
      <c r="C269" s="37">
        <f>SUMIF(Carico!$B$3:$B$975,B269,Carico!$C$3:$C$975)-(SUMIF(Scarico!$B$3:$B$997,B269,Scarico!$C$3:$C$997))+$D$4:$D$987</f>
        <v>0</v>
      </c>
      <c r="D269" s="59"/>
      <c r="E269" s="58"/>
      <c r="F269" s="40">
        <f t="shared" si="4"/>
        <v>0</v>
      </c>
    </row>
    <row r="270" ht="15.75" customHeight="1">
      <c r="B270" s="65"/>
      <c r="C270" s="37">
        <f>SUMIF(Carico!$B$3:$B$975,B270,Carico!$C$3:$C$975)-(SUMIF(Scarico!$B$3:$B$997,B270,Scarico!$C$3:$C$997))+$D$4:$D$987</f>
        <v>0</v>
      </c>
      <c r="D270" s="59"/>
      <c r="E270" s="58"/>
      <c r="F270" s="40">
        <f t="shared" si="4"/>
        <v>0</v>
      </c>
    </row>
    <row r="271" ht="15.75" customHeight="1">
      <c r="B271" s="65"/>
      <c r="C271" s="37">
        <f>SUMIF(Carico!$B$3:$B$975,B271,Carico!$C$3:$C$975)-(SUMIF(Scarico!$B$3:$B$997,B271,Scarico!$C$3:$C$997))+$D$4:$D$987</f>
        <v>0</v>
      </c>
      <c r="D271" s="59"/>
      <c r="E271" s="58"/>
      <c r="F271" s="40">
        <f t="shared" si="4"/>
        <v>0</v>
      </c>
    </row>
    <row r="272" ht="15.75" customHeight="1">
      <c r="B272" s="65"/>
      <c r="C272" s="37">
        <f>SUMIF(Carico!$B$3:$B$975,B272,Carico!$C$3:$C$975)-(SUMIF(Scarico!$B$3:$B$997,B272,Scarico!$C$3:$C$997))+$D$4:$D$987</f>
        <v>0</v>
      </c>
      <c r="D272" s="59"/>
      <c r="E272" s="58"/>
      <c r="F272" s="40">
        <f t="shared" si="4"/>
        <v>0</v>
      </c>
    </row>
    <row r="273" ht="15.75" customHeight="1">
      <c r="B273" s="65"/>
      <c r="C273" s="37">
        <f>SUMIF(Carico!$B$3:$B$975,B273,Carico!$C$3:$C$975)-(SUMIF(Scarico!$B$3:$B$997,B273,Scarico!$C$3:$C$997))+$D$4:$D$987</f>
        <v>0</v>
      </c>
      <c r="D273" s="59"/>
      <c r="E273" s="58"/>
      <c r="F273" s="40">
        <f t="shared" si="4"/>
        <v>0</v>
      </c>
    </row>
    <row r="274" ht="15.75" customHeight="1">
      <c r="B274" s="65"/>
      <c r="C274" s="37">
        <f>SUMIF(Carico!$B$3:$B$975,B274,Carico!$C$3:$C$975)-(SUMIF(Scarico!$B$3:$B$997,B274,Scarico!$C$3:$C$997))+$D$4:$D$987</f>
        <v>0</v>
      </c>
      <c r="D274" s="59"/>
      <c r="E274" s="58"/>
      <c r="F274" s="40">
        <f t="shared" si="4"/>
        <v>0</v>
      </c>
    </row>
    <row r="275" ht="15.75" customHeight="1">
      <c r="B275" s="65"/>
      <c r="C275" s="37">
        <f>SUMIF(Carico!$B$3:$B$975,B275,Carico!$C$3:$C$975)-(SUMIF(Scarico!$B$3:$B$997,B275,Scarico!$C$3:$C$997))+$D$4:$D$987</f>
        <v>0</v>
      </c>
      <c r="D275" s="59"/>
      <c r="E275" s="58"/>
      <c r="F275" s="40">
        <f t="shared" si="4"/>
        <v>0</v>
      </c>
    </row>
    <row r="276" ht="15.75" customHeight="1">
      <c r="B276" s="65"/>
      <c r="C276" s="37">
        <f>SUMIF(Carico!$B$3:$B$975,B276,Carico!$C$3:$C$975)-(SUMIF(Scarico!$B$3:$B$997,B276,Scarico!$C$3:$C$997))+$D$4:$D$987</f>
        <v>0</v>
      </c>
      <c r="D276" s="59"/>
      <c r="E276" s="58"/>
      <c r="F276" s="40">
        <f t="shared" si="4"/>
        <v>0</v>
      </c>
    </row>
    <row r="277" ht="15.75" customHeight="1">
      <c r="B277" s="65"/>
      <c r="C277" s="37">
        <f>SUMIF(Carico!$B$3:$B$975,B277,Carico!$C$3:$C$975)-(SUMIF(Scarico!$B$3:$B$997,B277,Scarico!$C$3:$C$997))+$D$4:$D$987</f>
        <v>0</v>
      </c>
      <c r="D277" s="59"/>
      <c r="E277" s="58"/>
      <c r="F277" s="40">
        <f t="shared" si="4"/>
        <v>0</v>
      </c>
    </row>
    <row r="278" ht="15.75" customHeight="1">
      <c r="B278" s="65"/>
      <c r="C278" s="37">
        <f>SUMIF(Carico!$B$3:$B$975,B278,Carico!$C$3:$C$975)-(SUMIF(Scarico!$B$3:$B$997,B278,Scarico!$C$3:$C$997))+$D$4:$D$987</f>
        <v>0</v>
      </c>
      <c r="D278" s="59"/>
      <c r="E278" s="58"/>
      <c r="F278" s="40">
        <f t="shared" si="4"/>
        <v>0</v>
      </c>
    </row>
    <row r="279" ht="15.75" customHeight="1">
      <c r="B279" s="65"/>
      <c r="C279" s="37">
        <f>SUMIF(Carico!$B$3:$B$975,B279,Carico!$C$3:$C$975)-(SUMIF(Scarico!$B$3:$B$997,B279,Scarico!$C$3:$C$997))+$D$4:$D$987</f>
        <v>0</v>
      </c>
      <c r="D279" s="59"/>
      <c r="E279" s="58"/>
      <c r="F279" s="40">
        <f t="shared" si="4"/>
        <v>0</v>
      </c>
    </row>
    <row r="280" ht="15.75" customHeight="1">
      <c r="B280" s="65"/>
      <c r="C280" s="37">
        <f>SUMIF(Carico!$B$3:$B$975,B280,Carico!$C$3:$C$975)-(SUMIF(Scarico!$B$3:$B$997,B280,Scarico!$C$3:$C$997))+$D$4:$D$987</f>
        <v>0</v>
      </c>
      <c r="D280" s="59"/>
      <c r="E280" s="58"/>
      <c r="F280" s="40">
        <f t="shared" si="4"/>
        <v>0</v>
      </c>
    </row>
    <row r="281" ht="15.75" customHeight="1">
      <c r="B281" s="65"/>
      <c r="C281" s="37">
        <f>SUMIF(Carico!$B$3:$B$975,B281,Carico!$C$3:$C$975)-(SUMIF(Scarico!$B$3:$B$997,B281,Scarico!$C$3:$C$997))+$D$4:$D$987</f>
        <v>0</v>
      </c>
      <c r="D281" s="59"/>
      <c r="E281" s="58"/>
      <c r="F281" s="40">
        <f t="shared" si="4"/>
        <v>0</v>
      </c>
    </row>
    <row r="282" ht="15.75" customHeight="1">
      <c r="B282" s="65"/>
      <c r="C282" s="37">
        <f>SUMIF(Carico!$B$3:$B$975,B282,Carico!$C$3:$C$975)-(SUMIF(Scarico!$B$3:$B$997,B282,Scarico!$C$3:$C$997))+$D$4:$D$987</f>
        <v>0</v>
      </c>
      <c r="D282" s="59"/>
      <c r="E282" s="58"/>
      <c r="F282" s="40">
        <f t="shared" si="4"/>
        <v>0</v>
      </c>
    </row>
    <row r="283" ht="15.75" customHeight="1">
      <c r="B283" s="65"/>
      <c r="C283" s="37">
        <f>SUMIF(Carico!$B$3:$B$975,B283,Carico!$C$3:$C$975)-(SUMIF(Scarico!$B$3:$B$997,B283,Scarico!$C$3:$C$997))+$D$4:$D$987</f>
        <v>0</v>
      </c>
      <c r="D283" s="59"/>
      <c r="E283" s="58"/>
      <c r="F283" s="40">
        <f t="shared" si="4"/>
        <v>0</v>
      </c>
    </row>
    <row r="284" ht="15.75" customHeight="1">
      <c r="B284" s="65"/>
      <c r="C284" s="37">
        <f>SUMIF(Carico!$B$3:$B$975,B284,Carico!$C$3:$C$975)-(SUMIF(Scarico!$B$3:$B$997,B284,Scarico!$C$3:$C$997))+$D$4:$D$987</f>
        <v>0</v>
      </c>
      <c r="D284" s="59"/>
      <c r="E284" s="58"/>
      <c r="F284" s="40">
        <f t="shared" si="4"/>
        <v>0</v>
      </c>
    </row>
    <row r="285" ht="15.75" customHeight="1">
      <c r="B285" s="65"/>
      <c r="C285" s="37">
        <f>SUMIF(Carico!$B$3:$B$975,B285,Carico!$C$3:$C$975)-(SUMIF(Scarico!$B$3:$B$997,B285,Scarico!$C$3:$C$997))+$D$4:$D$987</f>
        <v>0</v>
      </c>
      <c r="D285" s="59"/>
      <c r="E285" s="58"/>
      <c r="F285" s="40">
        <f t="shared" si="4"/>
        <v>0</v>
      </c>
    </row>
    <row r="286" ht="15.75" customHeight="1">
      <c r="B286" s="65"/>
      <c r="C286" s="37">
        <f>SUMIF(Carico!$B$3:$B$975,B286,Carico!$C$3:$C$975)-(SUMIF(Scarico!$B$3:$B$997,B286,Scarico!$C$3:$C$997))+$D$4:$D$987</f>
        <v>0</v>
      </c>
      <c r="D286" s="59"/>
      <c r="E286" s="58"/>
      <c r="F286" s="40">
        <f t="shared" si="4"/>
        <v>0</v>
      </c>
    </row>
    <row r="287" ht="15.75" customHeight="1">
      <c r="B287" s="65"/>
      <c r="C287" s="37">
        <f>SUMIF(Carico!$B$3:$B$975,B287,Carico!$C$3:$C$975)-(SUMIF(Scarico!$B$3:$B$997,B287,Scarico!$C$3:$C$997))+$D$4:$D$987</f>
        <v>0</v>
      </c>
      <c r="D287" s="59"/>
      <c r="E287" s="58"/>
      <c r="F287" s="40">
        <f t="shared" si="4"/>
        <v>0</v>
      </c>
    </row>
    <row r="288" ht="15.75" customHeight="1">
      <c r="B288" s="65"/>
      <c r="C288" s="37">
        <f>SUMIF(Carico!$B$3:$B$975,B288,Carico!$C$3:$C$975)-(SUMIF(Scarico!$B$3:$B$997,B288,Scarico!$C$3:$C$997))+$D$4:$D$987</f>
        <v>0</v>
      </c>
      <c r="D288" s="59"/>
      <c r="E288" s="58"/>
      <c r="F288" s="40">
        <f t="shared" si="4"/>
        <v>0</v>
      </c>
    </row>
    <row r="289" ht="15.75" customHeight="1">
      <c r="B289" s="65"/>
      <c r="C289" s="37">
        <f>SUMIF(Carico!$B$3:$B$975,B289,Carico!$C$3:$C$975)-(SUMIF(Scarico!$B$3:$B$997,B289,Scarico!$C$3:$C$997))+$D$4:$D$987</f>
        <v>0</v>
      </c>
      <c r="D289" s="59"/>
      <c r="E289" s="58"/>
      <c r="F289" s="40">
        <f t="shared" si="4"/>
        <v>0</v>
      </c>
    </row>
    <row r="290" ht="15.75" customHeight="1">
      <c r="B290" s="65"/>
      <c r="C290" s="37">
        <f>SUMIF(Carico!$B$3:$B$975,B290,Carico!$C$3:$C$975)-(SUMIF(Scarico!$B$3:$B$997,B290,Scarico!$C$3:$C$997))+$D$4:$D$987</f>
        <v>0</v>
      </c>
      <c r="D290" s="59"/>
      <c r="E290" s="58"/>
      <c r="F290" s="40">
        <f t="shared" si="4"/>
        <v>0</v>
      </c>
    </row>
    <row r="291" ht="15.75" customHeight="1">
      <c r="B291" s="65"/>
      <c r="C291" s="37">
        <f>SUMIF(Carico!$B$3:$B$975,B291,Carico!$C$3:$C$975)-(SUMIF(Scarico!$B$3:$B$997,B291,Scarico!$C$3:$C$997))+$D$4:$D$987</f>
        <v>0</v>
      </c>
      <c r="D291" s="59"/>
      <c r="E291" s="58"/>
      <c r="F291" s="40">
        <f t="shared" si="4"/>
        <v>0</v>
      </c>
    </row>
    <row r="292" ht="15.75" customHeight="1">
      <c r="B292" s="65"/>
      <c r="C292" s="37">
        <f>SUMIF(Carico!$B$3:$B$975,B292,Carico!$C$3:$C$975)-(SUMIF(Scarico!$B$3:$B$997,B292,Scarico!$C$3:$C$997))+$D$4:$D$987</f>
        <v>0</v>
      </c>
      <c r="D292" s="59"/>
      <c r="E292" s="58"/>
      <c r="F292" s="40">
        <f t="shared" si="4"/>
        <v>0</v>
      </c>
    </row>
    <row r="293" ht="15.75" customHeight="1">
      <c r="B293" s="65"/>
      <c r="C293" s="37">
        <f>SUMIF(Carico!$B$3:$B$975,B293,Carico!$C$3:$C$975)-(SUMIF(Scarico!$B$3:$B$997,B293,Scarico!$C$3:$C$997))+$D$4:$D$987</f>
        <v>0</v>
      </c>
      <c r="D293" s="59"/>
      <c r="E293" s="58"/>
      <c r="F293" s="40">
        <f t="shared" si="4"/>
        <v>0</v>
      </c>
    </row>
    <row r="294" ht="15.75" customHeight="1">
      <c r="B294" s="65"/>
      <c r="C294" s="37">
        <f>SUMIF(Carico!$B$3:$B$975,B294,Carico!$C$3:$C$975)-(SUMIF(Scarico!$B$3:$B$997,B294,Scarico!$C$3:$C$997))+$D$4:$D$987</f>
        <v>0</v>
      </c>
      <c r="D294" s="59"/>
      <c r="E294" s="58"/>
      <c r="F294" s="40">
        <f t="shared" si="4"/>
        <v>0</v>
      </c>
    </row>
    <row r="295" ht="15.75" customHeight="1">
      <c r="B295" s="65"/>
      <c r="C295" s="37">
        <f>SUMIF(Carico!$B$3:$B$975,B295,Carico!$C$3:$C$975)-(SUMIF(Scarico!$B$3:$B$997,B295,Scarico!$C$3:$C$997))+$D$4:$D$987</f>
        <v>0</v>
      </c>
      <c r="D295" s="59"/>
      <c r="E295" s="58"/>
      <c r="F295" s="40">
        <f t="shared" si="4"/>
        <v>0</v>
      </c>
    </row>
    <row r="296" ht="15.75" customHeight="1">
      <c r="B296" s="65"/>
      <c r="C296" s="37">
        <f>SUMIF(Carico!$B$3:$B$975,B296,Carico!$C$3:$C$975)-(SUMIF(Scarico!$B$3:$B$997,B296,Scarico!$C$3:$C$997))+$D$4:$D$987</f>
        <v>0</v>
      </c>
      <c r="D296" s="59"/>
      <c r="E296" s="58"/>
      <c r="F296" s="40">
        <f t="shared" si="4"/>
        <v>0</v>
      </c>
    </row>
    <row r="297" ht="15.75" customHeight="1">
      <c r="B297" s="65"/>
      <c r="C297" s="37">
        <f>SUMIF(Carico!$B$3:$B$975,B297,Carico!$C$3:$C$975)-(SUMIF(Scarico!$B$3:$B$997,B297,Scarico!$C$3:$C$997))+$D$4:$D$987</f>
        <v>0</v>
      </c>
      <c r="D297" s="59"/>
      <c r="E297" s="58"/>
      <c r="F297" s="40">
        <f t="shared" si="4"/>
        <v>0</v>
      </c>
    </row>
    <row r="298" ht="15.75" customHeight="1">
      <c r="B298" s="65"/>
      <c r="C298" s="37">
        <f>SUMIF(Carico!$B$3:$B$975,B298,Carico!$C$3:$C$975)-(SUMIF(Scarico!$B$3:$B$997,B298,Scarico!$C$3:$C$997))+$D$4:$D$987</f>
        <v>0</v>
      </c>
      <c r="D298" s="59"/>
      <c r="E298" s="58"/>
      <c r="F298" s="40">
        <f t="shared" si="4"/>
        <v>0</v>
      </c>
    </row>
    <row r="299" ht="15.75" customHeight="1">
      <c r="B299" s="65"/>
      <c r="C299" s="37">
        <f>SUMIF(Carico!$B$3:$B$975,B299,Carico!$C$3:$C$975)-(SUMIF(Scarico!$B$3:$B$997,B299,Scarico!$C$3:$C$997))+$D$4:$D$987</f>
        <v>0</v>
      </c>
      <c r="D299" s="59"/>
      <c r="E299" s="58"/>
      <c r="F299" s="40">
        <f t="shared" si="4"/>
        <v>0</v>
      </c>
    </row>
    <row r="300" ht="15.75" customHeight="1">
      <c r="B300" s="65"/>
      <c r="C300" s="37">
        <f>SUMIF(Carico!$B$3:$B$975,B300,Carico!$C$3:$C$975)-(SUMIF(Scarico!$B$3:$B$997,B300,Scarico!$C$3:$C$997))+$D$4:$D$987</f>
        <v>0</v>
      </c>
      <c r="D300" s="59"/>
      <c r="E300" s="58"/>
      <c r="F300" s="40">
        <f t="shared" si="4"/>
        <v>0</v>
      </c>
    </row>
    <row r="301" ht="15.75" customHeight="1">
      <c r="B301" s="65"/>
      <c r="C301" s="37">
        <f>SUMIF(Carico!$B$3:$B$975,B301,Carico!$C$3:$C$975)-(SUMIF(Scarico!$B$3:$B$997,B301,Scarico!$C$3:$C$997))+$D$4:$D$987</f>
        <v>0</v>
      </c>
      <c r="D301" s="59"/>
      <c r="E301" s="58"/>
      <c r="F301" s="40">
        <f t="shared" si="4"/>
        <v>0</v>
      </c>
    </row>
    <row r="302" ht="15.75" customHeight="1">
      <c r="B302" s="65"/>
      <c r="C302" s="37">
        <f>SUMIF(Carico!$B$3:$B$975,B302,Carico!$C$3:$C$975)-(SUMIF(Scarico!$B$3:$B$997,B302,Scarico!$C$3:$C$997))+$D$4:$D$987</f>
        <v>0</v>
      </c>
      <c r="D302" s="59"/>
      <c r="E302" s="58"/>
      <c r="F302" s="40">
        <f t="shared" si="4"/>
        <v>0</v>
      </c>
    </row>
    <row r="303" ht="15.75" customHeight="1">
      <c r="B303" s="65"/>
      <c r="C303" s="37">
        <f>SUMIF(Carico!$B$3:$B$975,B303,Carico!$C$3:$C$975)-(SUMIF(Scarico!$B$3:$B$997,B303,Scarico!$C$3:$C$997))+$D$4:$D$987</f>
        <v>0</v>
      </c>
      <c r="D303" s="59"/>
      <c r="E303" s="58"/>
      <c r="F303" s="40">
        <f t="shared" si="4"/>
        <v>0</v>
      </c>
    </row>
    <row r="304" ht="15.75" customHeight="1">
      <c r="B304" s="65"/>
      <c r="C304" s="37">
        <f>SUMIF(Carico!$B$3:$B$975,B304,Carico!$C$3:$C$975)-(SUMIF(Scarico!$B$3:$B$997,B304,Scarico!$C$3:$C$997))+$D$4:$D$987</f>
        <v>0</v>
      </c>
      <c r="D304" s="59"/>
      <c r="E304" s="58"/>
      <c r="F304" s="40">
        <f t="shared" si="4"/>
        <v>0</v>
      </c>
    </row>
    <row r="305" ht="15.75" customHeight="1">
      <c r="B305" s="65"/>
      <c r="C305" s="37">
        <f>SUMIF(Carico!$B$3:$B$975,B305,Carico!$C$3:$C$975)-(SUMIF(Scarico!$B$3:$B$997,B305,Scarico!$C$3:$C$997))+$D$4:$D$987</f>
        <v>0</v>
      </c>
      <c r="D305" s="59"/>
      <c r="E305" s="58"/>
      <c r="F305" s="40">
        <f t="shared" si="4"/>
        <v>0</v>
      </c>
    </row>
    <row r="306" ht="15.75" customHeight="1">
      <c r="B306" s="65"/>
      <c r="C306" s="37">
        <f>SUMIF(Carico!$B$3:$B$975,B306,Carico!$C$3:$C$975)-(SUMIF(Scarico!$B$3:$B$997,B306,Scarico!$C$3:$C$997))+$D$4:$D$987</f>
        <v>0</v>
      </c>
      <c r="D306" s="59"/>
      <c r="E306" s="58"/>
      <c r="F306" s="40">
        <f t="shared" si="4"/>
        <v>0</v>
      </c>
    </row>
    <row r="307" ht="15.75" customHeight="1">
      <c r="B307" s="65"/>
      <c r="C307" s="37">
        <f>SUMIF(Carico!$B$3:$B$975,B307,Carico!$C$3:$C$975)-(SUMIF(Scarico!$B$3:$B$997,B307,Scarico!$C$3:$C$997))+$D$4:$D$987</f>
        <v>0</v>
      </c>
      <c r="D307" s="59"/>
      <c r="E307" s="58"/>
      <c r="F307" s="40">
        <f t="shared" si="4"/>
        <v>0</v>
      </c>
    </row>
    <row r="308" ht="15.75" customHeight="1">
      <c r="B308" s="65"/>
      <c r="C308" s="37">
        <f>SUMIF(Carico!$B$3:$B$975,B308,Carico!$C$3:$C$975)-(SUMIF(Scarico!$B$3:$B$997,B308,Scarico!$C$3:$C$997))+$D$4:$D$987</f>
        <v>0</v>
      </c>
      <c r="D308" s="59"/>
      <c r="E308" s="58"/>
      <c r="F308" s="40">
        <f t="shared" si="4"/>
        <v>0</v>
      </c>
    </row>
    <row r="309" ht="15.75" customHeight="1">
      <c r="B309" s="65"/>
      <c r="C309" s="37">
        <f>SUMIF(Carico!$B$3:$B$975,B309,Carico!$C$3:$C$975)-(SUMIF(Scarico!$B$3:$B$997,B309,Scarico!$C$3:$C$997))+$D$4:$D$987</f>
        <v>0</v>
      </c>
      <c r="D309" s="59"/>
      <c r="E309" s="58"/>
      <c r="F309" s="40">
        <f t="shared" si="4"/>
        <v>0</v>
      </c>
    </row>
    <row r="310" ht="15.75" customHeight="1">
      <c r="B310" s="65"/>
      <c r="C310" s="37">
        <f>SUMIF(Carico!$B$3:$B$975,B310,Carico!$C$3:$C$975)-(SUMIF(Scarico!$B$3:$B$997,B310,Scarico!$C$3:$C$997))+$D$4:$D$987</f>
        <v>0</v>
      </c>
      <c r="D310" s="59"/>
      <c r="E310" s="58"/>
      <c r="F310" s="40">
        <f t="shared" si="4"/>
        <v>0</v>
      </c>
    </row>
    <row r="311" ht="15.75" customHeight="1">
      <c r="B311" s="65"/>
      <c r="C311" s="37">
        <f>SUMIF(Carico!$B$3:$B$975,B311,Carico!$C$3:$C$975)-(SUMIF(Scarico!$B$3:$B$997,B311,Scarico!$C$3:$C$997))+$D$4:$D$987</f>
        <v>0</v>
      </c>
      <c r="D311" s="59"/>
      <c r="E311" s="58"/>
      <c r="F311" s="40">
        <f t="shared" si="4"/>
        <v>0</v>
      </c>
    </row>
    <row r="312" ht="15.75" customHeight="1">
      <c r="B312" s="65"/>
      <c r="C312" s="37">
        <f>SUMIF(Carico!$B$3:$B$975,B312,Carico!$C$3:$C$975)-(SUMIF(Scarico!$B$3:$B$997,B312,Scarico!$C$3:$C$997))+$D$4:$D$987</f>
        <v>0</v>
      </c>
      <c r="D312" s="59"/>
      <c r="E312" s="58"/>
      <c r="F312" s="40">
        <f t="shared" si="4"/>
        <v>0</v>
      </c>
    </row>
    <row r="313" ht="15.75" customHeight="1">
      <c r="B313" s="65"/>
      <c r="C313" s="37">
        <f>SUMIF(Carico!$B$3:$B$975,B313,Carico!$C$3:$C$975)-(SUMIF(Scarico!$B$3:$B$997,B313,Scarico!$C$3:$C$997))+$D$4:$D$987</f>
        <v>0</v>
      </c>
      <c r="D313" s="59"/>
      <c r="E313" s="58"/>
      <c r="F313" s="40">
        <f t="shared" si="4"/>
        <v>0</v>
      </c>
    </row>
    <row r="314" ht="15.75" customHeight="1">
      <c r="B314" s="65"/>
      <c r="C314" s="37">
        <f>SUMIF(Carico!$B$3:$B$975,B314,Carico!$C$3:$C$975)-(SUMIF(Scarico!$B$3:$B$997,B314,Scarico!$C$3:$C$997))+$D$4:$D$987</f>
        <v>0</v>
      </c>
      <c r="D314" s="59"/>
      <c r="E314" s="58"/>
      <c r="F314" s="40">
        <f t="shared" si="4"/>
        <v>0</v>
      </c>
    </row>
    <row r="315" ht="15.75" customHeight="1">
      <c r="B315" s="65"/>
      <c r="C315" s="37">
        <f>SUMIF(Carico!$B$3:$B$975,B315,Carico!$C$3:$C$975)-(SUMIF(Scarico!$B$3:$B$997,B315,Scarico!$C$3:$C$997))+$D$4:$D$987</f>
        <v>0</v>
      </c>
      <c r="D315" s="59"/>
      <c r="E315" s="58"/>
      <c r="F315" s="40">
        <f t="shared" si="4"/>
        <v>0</v>
      </c>
    </row>
    <row r="316" ht="15.75" customHeight="1">
      <c r="B316" s="65"/>
      <c r="C316" s="37">
        <f>SUMIF(Carico!$B$3:$B$975,B316,Carico!$C$3:$C$975)-(SUMIF(Scarico!$B$3:$B$997,B316,Scarico!$C$3:$C$997))+$D$4:$D$987</f>
        <v>0</v>
      </c>
      <c r="D316" s="59"/>
      <c r="E316" s="58"/>
      <c r="F316" s="40">
        <f t="shared" si="4"/>
        <v>0</v>
      </c>
    </row>
    <row r="317" ht="15.75" customHeight="1">
      <c r="B317" s="65"/>
      <c r="C317" s="37">
        <f>SUMIF(Carico!$B$3:$B$975,B317,Carico!$C$3:$C$975)-(SUMIF(Scarico!$B$3:$B$997,B317,Scarico!$C$3:$C$997))+$D$4:$D$987</f>
        <v>0</v>
      </c>
      <c r="D317" s="59"/>
      <c r="E317" s="58"/>
      <c r="F317" s="40">
        <f t="shared" si="4"/>
        <v>0</v>
      </c>
    </row>
    <row r="318" ht="15.75" customHeight="1">
      <c r="B318" s="65"/>
      <c r="C318" s="37">
        <f>SUMIF(Carico!$B$3:$B$975,B318,Carico!$C$3:$C$975)-(SUMIF(Scarico!$B$3:$B$997,B318,Scarico!$C$3:$C$997))+$D$4:$D$987</f>
        <v>0</v>
      </c>
      <c r="D318" s="59"/>
      <c r="E318" s="58"/>
      <c r="F318" s="40">
        <f t="shared" si="4"/>
        <v>0</v>
      </c>
    </row>
    <row r="319" ht="15.75" customHeight="1">
      <c r="B319" s="65"/>
      <c r="C319" s="37">
        <f>SUMIF(Carico!$B$3:$B$975,B319,Carico!$C$3:$C$975)-(SUMIF(Scarico!$B$3:$B$997,B319,Scarico!$C$3:$C$997))+$D$4:$D$987</f>
        <v>0</v>
      </c>
      <c r="D319" s="59"/>
      <c r="E319" s="58"/>
      <c r="F319" s="40">
        <f t="shared" si="4"/>
        <v>0</v>
      </c>
    </row>
    <row r="320" ht="15.75" customHeight="1">
      <c r="B320" s="65"/>
      <c r="C320" s="37">
        <f>SUMIF(Carico!$B$3:$B$975,B320,Carico!$C$3:$C$975)-(SUMIF(Scarico!$B$3:$B$997,B320,Scarico!$C$3:$C$997))+$D$4:$D$987</f>
        <v>0</v>
      </c>
      <c r="D320" s="59"/>
      <c r="E320" s="58"/>
      <c r="F320" s="40">
        <f t="shared" si="4"/>
        <v>0</v>
      </c>
    </row>
    <row r="321" ht="15.75" customHeight="1">
      <c r="B321" s="65"/>
      <c r="C321" s="37">
        <f>SUMIF(Carico!$B$3:$B$975,B321,Carico!$C$3:$C$975)-(SUMIF(Scarico!$B$3:$B$997,B321,Scarico!$C$3:$C$997))+$D$4:$D$987</f>
        <v>0</v>
      </c>
      <c r="D321" s="59"/>
      <c r="E321" s="58"/>
      <c r="F321" s="40">
        <f t="shared" si="4"/>
        <v>0</v>
      </c>
    </row>
    <row r="322" ht="15.75" customHeight="1">
      <c r="B322" s="65"/>
      <c r="C322" s="37">
        <f>SUMIF(Carico!$B$3:$B$975,B322,Carico!$C$3:$C$975)-(SUMIF(Scarico!$B$3:$B$997,B322,Scarico!$C$3:$C$997))+$D$4:$D$987</f>
        <v>0</v>
      </c>
      <c r="D322" s="59"/>
      <c r="E322" s="58"/>
      <c r="F322" s="40">
        <f t="shared" si="4"/>
        <v>0</v>
      </c>
    </row>
    <row r="323" ht="15.75" customHeight="1">
      <c r="B323" s="65"/>
      <c r="C323" s="37">
        <f>SUMIF(Carico!$B$3:$B$975,B323,Carico!$C$3:$C$975)-(SUMIF(Scarico!$B$3:$B$997,B323,Scarico!$C$3:$C$997))+$D$4:$D$987</f>
        <v>0</v>
      </c>
      <c r="D323" s="59"/>
      <c r="E323" s="58"/>
      <c r="F323" s="40">
        <f t="shared" si="4"/>
        <v>0</v>
      </c>
    </row>
    <row r="324" ht="15.75" customHeight="1">
      <c r="B324" s="65"/>
      <c r="C324" s="37">
        <f>SUMIF(Carico!$B$3:$B$975,B324,Carico!$C$3:$C$975)-(SUMIF(Scarico!$B$3:$B$997,B324,Scarico!$C$3:$C$997))+$D$4:$D$987</f>
        <v>0</v>
      </c>
      <c r="D324" s="59"/>
      <c r="E324" s="58"/>
      <c r="F324" s="40">
        <f t="shared" si="4"/>
        <v>0</v>
      </c>
    </row>
    <row r="325" ht="15.75" customHeight="1">
      <c r="B325" s="65"/>
      <c r="C325" s="37">
        <f>SUMIF(Carico!$B$3:$B$975,B325,Carico!$C$3:$C$975)-(SUMIF(Scarico!$B$3:$B$997,B325,Scarico!$C$3:$C$997))+$D$4:$D$987</f>
        <v>0</v>
      </c>
      <c r="D325" s="59"/>
      <c r="E325" s="58"/>
      <c r="F325" s="40">
        <f t="shared" si="4"/>
        <v>0</v>
      </c>
    </row>
    <row r="326" ht="15.75" customHeight="1">
      <c r="B326" s="65"/>
      <c r="C326" s="37">
        <f>SUMIF(Carico!$B$3:$B$975,B326,Carico!$C$3:$C$975)-(SUMIF(Scarico!$B$3:$B$997,B326,Scarico!$C$3:$C$997))+$D$4:$D$987</f>
        <v>0</v>
      </c>
      <c r="D326" s="59"/>
      <c r="E326" s="58"/>
      <c r="F326" s="40">
        <f t="shared" si="4"/>
        <v>0</v>
      </c>
    </row>
    <row r="327" ht="15.75" customHeight="1">
      <c r="B327" s="65"/>
      <c r="C327" s="37">
        <f>SUMIF(Carico!$B$3:$B$975,B327,Carico!$C$3:$C$975)-(SUMIF(Scarico!$B$3:$B$997,B327,Scarico!$C$3:$C$997))+$D$4:$D$987</f>
        <v>0</v>
      </c>
      <c r="D327" s="59"/>
      <c r="E327" s="58"/>
      <c r="F327" s="40">
        <f t="shared" si="4"/>
        <v>0</v>
      </c>
    </row>
    <row r="328" ht="15.75" customHeight="1">
      <c r="B328" s="65"/>
      <c r="C328" s="37">
        <f>SUMIF(Carico!$B$3:$B$975,B328,Carico!$C$3:$C$975)-(SUMIF(Scarico!$B$3:$B$997,B328,Scarico!$C$3:$C$997))+$D$4:$D$987</f>
        <v>0</v>
      </c>
      <c r="D328" s="59"/>
      <c r="E328" s="58"/>
      <c r="F328" s="40">
        <f t="shared" si="4"/>
        <v>0</v>
      </c>
    </row>
    <row r="329" ht="15.75" customHeight="1">
      <c r="B329" s="65"/>
      <c r="C329" s="37">
        <f>SUMIF(Carico!$B$3:$B$975,B329,Carico!$C$3:$C$975)-(SUMIF(Scarico!$B$3:$B$997,B329,Scarico!$C$3:$C$997))+$D$4:$D$987</f>
        <v>0</v>
      </c>
      <c r="D329" s="59"/>
      <c r="E329" s="58"/>
      <c r="F329" s="40">
        <f t="shared" si="4"/>
        <v>0</v>
      </c>
    </row>
    <row r="330" ht="15.75" customHeight="1">
      <c r="B330" s="65"/>
      <c r="C330" s="37">
        <f>SUMIF(Carico!$B$3:$B$975,B330,Carico!$C$3:$C$975)-(SUMIF(Scarico!$B$3:$B$997,B330,Scarico!$C$3:$C$997))+$D$4:$D$987</f>
        <v>0</v>
      </c>
      <c r="D330" s="59"/>
      <c r="E330" s="58"/>
      <c r="F330" s="40">
        <f t="shared" si="4"/>
        <v>0</v>
      </c>
    </row>
    <row r="331" ht="15.75" customHeight="1">
      <c r="B331" s="65"/>
      <c r="C331" s="37">
        <f>SUMIF(Carico!$B$3:$B$975,B331,Carico!$C$3:$C$975)-(SUMIF(Scarico!$B$3:$B$997,B331,Scarico!$C$3:$C$997))+$D$4:$D$987</f>
        <v>0</v>
      </c>
      <c r="D331" s="59"/>
      <c r="E331" s="58"/>
      <c r="F331" s="40">
        <f t="shared" si="4"/>
        <v>0</v>
      </c>
    </row>
    <row r="332" ht="15.75" customHeight="1">
      <c r="B332" s="65"/>
      <c r="C332" s="37">
        <f>SUMIF(Carico!$B$3:$B$975,B332,Carico!$C$3:$C$975)-(SUMIF(Scarico!$B$3:$B$997,B332,Scarico!$C$3:$C$997))+$D$4:$D$987</f>
        <v>0</v>
      </c>
      <c r="D332" s="59"/>
      <c r="E332" s="58"/>
      <c r="F332" s="40">
        <f t="shared" si="4"/>
        <v>0</v>
      </c>
    </row>
    <row r="333" ht="15.75" customHeight="1">
      <c r="B333" s="65"/>
      <c r="C333" s="37">
        <f>SUMIF(Carico!$B$3:$B$975,B333,Carico!$C$3:$C$975)-(SUMIF(Scarico!$B$3:$B$997,B333,Scarico!$C$3:$C$997))+$D$4:$D$987</f>
        <v>0</v>
      </c>
      <c r="D333" s="59"/>
      <c r="E333" s="58"/>
      <c r="F333" s="40">
        <f t="shared" si="4"/>
        <v>0</v>
      </c>
    </row>
    <row r="334" ht="15.75" customHeight="1">
      <c r="B334" s="65"/>
      <c r="C334" s="37">
        <f>SUMIF(Carico!$B$3:$B$975,B334,Carico!$C$3:$C$975)-(SUMIF(Scarico!$B$3:$B$997,B334,Scarico!$C$3:$C$997))+$D$4:$D$987</f>
        <v>0</v>
      </c>
      <c r="D334" s="59"/>
      <c r="E334" s="58"/>
      <c r="F334" s="40">
        <f t="shared" si="4"/>
        <v>0</v>
      </c>
    </row>
    <row r="335" ht="15.75" customHeight="1">
      <c r="B335" s="65"/>
      <c r="C335" s="37">
        <f>SUMIF(Carico!$B$3:$B$975,B335,Carico!$C$3:$C$975)-(SUMIF(Scarico!$B$3:$B$997,B335,Scarico!$C$3:$C$997))+$D$4:$D$987</f>
        <v>0</v>
      </c>
      <c r="D335" s="59"/>
      <c r="E335" s="58"/>
      <c r="F335" s="40">
        <f t="shared" si="4"/>
        <v>0</v>
      </c>
    </row>
    <row r="336" ht="15.75" customHeight="1">
      <c r="B336" s="65"/>
      <c r="C336" s="37">
        <f>SUMIF(Carico!$B$3:$B$975,B336,Carico!$C$3:$C$975)-(SUMIF(Scarico!$B$3:$B$997,B336,Scarico!$C$3:$C$997))+$D$4:$D$987</f>
        <v>0</v>
      </c>
      <c r="D336" s="59"/>
      <c r="E336" s="58"/>
      <c r="F336" s="40">
        <f t="shared" si="4"/>
        <v>0</v>
      </c>
    </row>
    <row r="337" ht="15.75" customHeight="1">
      <c r="B337" s="65"/>
      <c r="C337" s="37">
        <f>SUMIF(Carico!$B$3:$B$975,B337,Carico!$C$3:$C$975)-(SUMIF(Scarico!$B$3:$B$997,B337,Scarico!$C$3:$C$997))+$D$4:$D$987</f>
        <v>0</v>
      </c>
      <c r="D337" s="59"/>
      <c r="E337" s="58"/>
      <c r="F337" s="40">
        <f t="shared" si="4"/>
        <v>0</v>
      </c>
    </row>
    <row r="338" ht="15.75" customHeight="1">
      <c r="B338" s="65"/>
      <c r="C338" s="37">
        <f>SUMIF(Carico!$B$3:$B$975,B338,Carico!$C$3:$C$975)-(SUMIF(Scarico!$B$3:$B$997,B338,Scarico!$C$3:$C$997))+$D$4:$D$987</f>
        <v>0</v>
      </c>
      <c r="D338" s="59"/>
      <c r="E338" s="58"/>
      <c r="F338" s="40">
        <f t="shared" si="4"/>
        <v>0</v>
      </c>
    </row>
    <row r="339" ht="15.75" customHeight="1">
      <c r="B339" s="65"/>
      <c r="C339" s="37">
        <f>SUMIF(Carico!$B$3:$B$975,B339,Carico!$C$3:$C$975)-(SUMIF(Scarico!$B$3:$B$997,B339,Scarico!$C$3:$C$997))+$D$4:$D$987</f>
        <v>0</v>
      </c>
      <c r="D339" s="59"/>
      <c r="E339" s="58"/>
      <c r="F339" s="40">
        <f t="shared" si="4"/>
        <v>0</v>
      </c>
    </row>
    <row r="340" ht="15.75" customHeight="1">
      <c r="B340" s="65"/>
      <c r="C340" s="37">
        <f>SUMIF(Carico!$B$3:$B$975,B340,Carico!$C$3:$C$975)-(SUMIF(Scarico!$B$3:$B$997,B340,Scarico!$C$3:$C$997))+$D$4:$D$987</f>
        <v>0</v>
      </c>
      <c r="D340" s="59"/>
      <c r="E340" s="58"/>
      <c r="F340" s="40">
        <f t="shared" si="4"/>
        <v>0</v>
      </c>
    </row>
    <row r="341" ht="15.75" customHeight="1">
      <c r="B341" s="65"/>
      <c r="C341" s="37">
        <f>SUMIF(Carico!$B$3:$B$975,B341,Carico!$C$3:$C$975)-(SUMIF(Scarico!$B$3:$B$997,B341,Scarico!$C$3:$C$997))+$D$4:$D$987</f>
        <v>0</v>
      </c>
      <c r="D341" s="59"/>
      <c r="E341" s="58"/>
      <c r="F341" s="40">
        <f t="shared" si="4"/>
        <v>0</v>
      </c>
    </row>
    <row r="342" ht="15.75" customHeight="1">
      <c r="B342" s="65"/>
      <c r="C342" s="37">
        <f>SUMIF(Carico!$B$3:$B$975,B342,Carico!$C$3:$C$975)-(SUMIF(Scarico!$B$3:$B$997,B342,Scarico!$C$3:$C$997))+$D$4:$D$987</f>
        <v>0</v>
      </c>
      <c r="D342" s="59"/>
      <c r="E342" s="58"/>
      <c r="F342" s="40">
        <f t="shared" si="4"/>
        <v>0</v>
      </c>
    </row>
    <row r="343" ht="15.75" customHeight="1">
      <c r="B343" s="65"/>
      <c r="C343" s="37">
        <f>SUMIF(Carico!$B$3:$B$975,B343,Carico!$C$3:$C$975)-(SUMIF(Scarico!$B$3:$B$997,B343,Scarico!$C$3:$C$997))+$D$4:$D$987</f>
        <v>0</v>
      </c>
      <c r="D343" s="59"/>
      <c r="E343" s="58"/>
      <c r="F343" s="40">
        <f t="shared" si="4"/>
        <v>0</v>
      </c>
    </row>
    <row r="344" ht="15.75" customHeight="1">
      <c r="B344" s="65"/>
      <c r="C344" s="37">
        <f>SUMIF(Carico!$B$3:$B$975,B344,Carico!$C$3:$C$975)-(SUMIF(Scarico!$B$3:$B$997,B344,Scarico!$C$3:$C$997))+$D$4:$D$987</f>
        <v>0</v>
      </c>
      <c r="D344" s="59"/>
      <c r="E344" s="58"/>
      <c r="F344" s="40">
        <f t="shared" si="4"/>
        <v>0</v>
      </c>
    </row>
    <row r="345" ht="15.75" customHeight="1">
      <c r="B345" s="65"/>
      <c r="C345" s="37">
        <f>SUMIF(Carico!$B$3:$B$975,B345,Carico!$C$3:$C$975)-(SUMIF(Scarico!$B$3:$B$997,B345,Scarico!$C$3:$C$997))+$D$4:$D$987</f>
        <v>0</v>
      </c>
      <c r="D345" s="59"/>
      <c r="E345" s="58"/>
      <c r="F345" s="40">
        <f t="shared" si="4"/>
        <v>0</v>
      </c>
    </row>
    <row r="346" ht="15.75" customHeight="1">
      <c r="B346" s="65"/>
      <c r="C346" s="37">
        <f>SUMIF(Carico!$B$3:$B$975,B346,Carico!$C$3:$C$975)-(SUMIF(Scarico!$B$3:$B$997,B346,Scarico!$C$3:$C$997))+$D$4:$D$987</f>
        <v>0</v>
      </c>
      <c r="D346" s="59"/>
      <c r="E346" s="58"/>
      <c r="F346" s="40">
        <f t="shared" si="4"/>
        <v>0</v>
      </c>
    </row>
    <row r="347" ht="15.75" customHeight="1">
      <c r="B347" s="65"/>
      <c r="C347" s="37">
        <f>SUMIF(Carico!$B$3:$B$975,B347,Carico!$C$3:$C$975)-(SUMIF(Scarico!$B$3:$B$997,B347,Scarico!$C$3:$C$997))+$D$4:$D$987</f>
        <v>0</v>
      </c>
      <c r="D347" s="59"/>
      <c r="E347" s="58"/>
      <c r="F347" s="40">
        <f t="shared" si="4"/>
        <v>0</v>
      </c>
    </row>
    <row r="348" ht="15.75" customHeight="1">
      <c r="B348" s="65"/>
      <c r="C348" s="37">
        <f>SUMIF(Carico!$B$3:$B$975,B348,Carico!$C$3:$C$975)-(SUMIF(Scarico!$B$3:$B$997,B348,Scarico!$C$3:$C$997))+$D$4:$D$987</f>
        <v>0</v>
      </c>
      <c r="D348" s="59"/>
      <c r="E348" s="58"/>
      <c r="F348" s="40">
        <f t="shared" si="4"/>
        <v>0</v>
      </c>
    </row>
    <row r="349" ht="15.75" customHeight="1">
      <c r="B349" s="65"/>
      <c r="C349" s="37">
        <f>SUMIF(Carico!$B$3:$B$975,B349,Carico!$C$3:$C$975)-(SUMIF(Scarico!$B$3:$B$997,B349,Scarico!$C$3:$C$997))+$D$4:$D$987</f>
        <v>0</v>
      </c>
      <c r="D349" s="59"/>
      <c r="E349" s="58"/>
      <c r="F349" s="40">
        <f t="shared" si="4"/>
        <v>0</v>
      </c>
    </row>
    <row r="350" ht="15.75" customHeight="1">
      <c r="B350" s="65"/>
      <c r="C350" s="37">
        <f>SUMIF(Carico!$B$3:$B$975,B350,Carico!$C$3:$C$975)-(SUMIF(Scarico!$B$3:$B$997,B350,Scarico!$C$3:$C$997))+$D$4:$D$987</f>
        <v>0</v>
      </c>
      <c r="D350" s="59"/>
      <c r="E350" s="58"/>
      <c r="F350" s="40">
        <f t="shared" si="4"/>
        <v>0</v>
      </c>
    </row>
    <row r="351" ht="15.75" customHeight="1">
      <c r="B351" s="65"/>
      <c r="C351" s="37">
        <f>SUMIF(Carico!$B$3:$B$975,B351,Carico!$C$3:$C$975)-(SUMIF(Scarico!$B$3:$B$997,B351,Scarico!$C$3:$C$997))+$D$4:$D$987</f>
        <v>0</v>
      </c>
      <c r="D351" s="59"/>
      <c r="E351" s="58"/>
      <c r="F351" s="40">
        <f t="shared" si="4"/>
        <v>0</v>
      </c>
    </row>
    <row r="352" ht="15.75" customHeight="1">
      <c r="B352" s="65"/>
      <c r="C352" s="37">
        <f>SUMIF(Carico!$B$3:$B$975,B352,Carico!$C$3:$C$975)-(SUMIF(Scarico!$B$3:$B$997,B352,Scarico!$C$3:$C$997))+$D$4:$D$987</f>
        <v>0</v>
      </c>
      <c r="D352" s="59"/>
      <c r="E352" s="58"/>
      <c r="F352" s="40">
        <f t="shared" si="4"/>
        <v>0</v>
      </c>
    </row>
    <row r="353" ht="15.75" customHeight="1">
      <c r="B353" s="65"/>
      <c r="C353" s="37">
        <f>SUMIF(Carico!$B$3:$B$975,B353,Carico!$C$3:$C$975)-(SUMIF(Scarico!$B$3:$B$997,B353,Scarico!$C$3:$C$997))+$D$4:$D$987</f>
        <v>0</v>
      </c>
      <c r="D353" s="59"/>
      <c r="E353" s="58"/>
      <c r="F353" s="40">
        <f t="shared" si="4"/>
        <v>0</v>
      </c>
    </row>
    <row r="354" ht="15.75" customHeight="1">
      <c r="B354" s="65"/>
      <c r="C354" s="37">
        <f>SUMIF(Carico!$B$3:$B$975,B354,Carico!$C$3:$C$975)-(SUMIF(Scarico!$B$3:$B$997,B354,Scarico!$C$3:$C$997))+$D$4:$D$987</f>
        <v>0</v>
      </c>
      <c r="D354" s="59"/>
      <c r="E354" s="58"/>
      <c r="F354" s="40">
        <f t="shared" si="4"/>
        <v>0</v>
      </c>
    </row>
    <row r="355" ht="15.75" customHeight="1">
      <c r="B355" s="65"/>
      <c r="C355" s="37">
        <f>SUMIF(Carico!$B$3:$B$975,B355,Carico!$C$3:$C$975)-(SUMIF(Scarico!$B$3:$B$997,B355,Scarico!$C$3:$C$997))+$D$4:$D$987</f>
        <v>0</v>
      </c>
      <c r="D355" s="59"/>
      <c r="E355" s="58"/>
      <c r="F355" s="40">
        <f t="shared" si="4"/>
        <v>0</v>
      </c>
    </row>
    <row r="356" ht="15.75" customHeight="1">
      <c r="B356" s="65"/>
      <c r="C356" s="37">
        <f>SUMIF(Carico!$B$3:$B$975,B356,Carico!$C$3:$C$975)-(SUMIF(Scarico!$B$3:$B$997,B356,Scarico!$C$3:$C$997))+$D$4:$D$987</f>
        <v>0</v>
      </c>
      <c r="D356" s="59"/>
      <c r="E356" s="58"/>
      <c r="F356" s="40">
        <f t="shared" si="4"/>
        <v>0</v>
      </c>
    </row>
    <row r="357" ht="15.75" customHeight="1">
      <c r="B357" s="65"/>
      <c r="C357" s="37">
        <f>SUMIF(Carico!$B$3:$B$975,B357,Carico!$C$3:$C$975)-(SUMIF(Scarico!$B$3:$B$997,B357,Scarico!$C$3:$C$997))+$D$4:$D$987</f>
        <v>0</v>
      </c>
      <c r="D357" s="59"/>
      <c r="E357" s="58"/>
      <c r="F357" s="40">
        <f t="shared" si="4"/>
        <v>0</v>
      </c>
    </row>
    <row r="358" ht="15.75" customHeight="1">
      <c r="B358" s="65"/>
      <c r="C358" s="37">
        <f>SUMIF(Carico!$B$3:$B$975,B358,Carico!$C$3:$C$975)-(SUMIF(Scarico!$B$3:$B$997,B358,Scarico!$C$3:$C$997))+$D$4:$D$987</f>
        <v>0</v>
      </c>
      <c r="D358" s="59"/>
      <c r="E358" s="58"/>
      <c r="F358" s="40">
        <f t="shared" si="4"/>
        <v>0</v>
      </c>
    </row>
    <row r="359" ht="15.75" customHeight="1">
      <c r="B359" s="65"/>
      <c r="C359" s="37">
        <f>SUMIF(Carico!$B$3:$B$975,B359,Carico!$C$3:$C$975)-(SUMIF(Scarico!$B$3:$B$997,B359,Scarico!$C$3:$C$997))+$D$4:$D$987</f>
        <v>0</v>
      </c>
      <c r="D359" s="59"/>
      <c r="E359" s="58"/>
      <c r="F359" s="40">
        <f t="shared" si="4"/>
        <v>0</v>
      </c>
    </row>
    <row r="360" ht="15.75" customHeight="1">
      <c r="B360" s="65"/>
      <c r="C360" s="37">
        <f>SUMIF(Carico!$B$3:$B$975,B360,Carico!$C$3:$C$975)-(SUMIF(Scarico!$B$3:$B$997,B360,Scarico!$C$3:$C$997))+$D$4:$D$987</f>
        <v>0</v>
      </c>
      <c r="D360" s="59"/>
      <c r="E360" s="58"/>
      <c r="F360" s="40">
        <f t="shared" si="4"/>
        <v>0</v>
      </c>
    </row>
    <row r="361" ht="15.75" customHeight="1">
      <c r="B361" s="65"/>
      <c r="C361" s="37">
        <f>SUMIF(Carico!$B$3:$B$975,B361,Carico!$C$3:$C$975)-(SUMIF(Scarico!$B$3:$B$997,B361,Scarico!$C$3:$C$997))+$D$4:$D$987</f>
        <v>0</v>
      </c>
      <c r="D361" s="59"/>
      <c r="E361" s="58"/>
      <c r="F361" s="40">
        <f t="shared" si="4"/>
        <v>0</v>
      </c>
    </row>
    <row r="362" ht="15.75" customHeight="1">
      <c r="B362" s="65"/>
      <c r="C362" s="37">
        <f>SUMIF(Carico!$B$3:$B$975,B362,Carico!$C$3:$C$975)-(SUMIF(Scarico!$B$3:$B$997,B362,Scarico!$C$3:$C$997))+$D$4:$D$987</f>
        <v>0</v>
      </c>
      <c r="D362" s="59"/>
      <c r="E362" s="58"/>
      <c r="F362" s="40">
        <f t="shared" si="4"/>
        <v>0</v>
      </c>
    </row>
    <row r="363" ht="15.75" customHeight="1">
      <c r="B363" s="65"/>
      <c r="C363" s="37">
        <f>SUMIF(Carico!$B$3:$B$975,B363,Carico!$C$3:$C$975)-(SUMIF(Scarico!$B$3:$B$997,B363,Scarico!$C$3:$C$997))+$D$4:$D$987</f>
        <v>0</v>
      </c>
      <c r="D363" s="59"/>
      <c r="E363" s="58"/>
      <c r="F363" s="40">
        <f t="shared" si="4"/>
        <v>0</v>
      </c>
    </row>
    <row r="364" ht="15.75" customHeight="1">
      <c r="B364" s="65"/>
      <c r="C364" s="37">
        <f>SUMIF(Carico!$B$3:$B$975,B364,Carico!$C$3:$C$975)-(SUMIF(Scarico!$B$3:$B$997,B364,Scarico!$C$3:$C$997))+$D$4:$D$987</f>
        <v>0</v>
      </c>
      <c r="D364" s="59"/>
      <c r="E364" s="58"/>
      <c r="F364" s="40">
        <f t="shared" si="4"/>
        <v>0</v>
      </c>
    </row>
    <row r="365" ht="15.75" customHeight="1">
      <c r="B365" s="65"/>
      <c r="C365" s="37">
        <f>SUMIF(Carico!$B$3:$B$975,B365,Carico!$C$3:$C$975)-(SUMIF(Scarico!$B$3:$B$997,B365,Scarico!$C$3:$C$997))+$D$4:$D$987</f>
        <v>0</v>
      </c>
      <c r="D365" s="59"/>
      <c r="E365" s="58"/>
      <c r="F365" s="40">
        <f t="shared" si="4"/>
        <v>0</v>
      </c>
    </row>
    <row r="366" ht="15.75" customHeight="1">
      <c r="B366" s="65"/>
      <c r="C366" s="37">
        <f>SUMIF(Carico!$B$3:$B$975,B366,Carico!$C$3:$C$975)-(SUMIF(Scarico!$B$3:$B$997,B366,Scarico!$C$3:$C$997))+$D$4:$D$987</f>
        <v>0</v>
      </c>
      <c r="D366" s="59"/>
      <c r="E366" s="58"/>
      <c r="F366" s="40">
        <f t="shared" si="4"/>
        <v>0</v>
      </c>
    </row>
    <row r="367" ht="15.75" customHeight="1">
      <c r="B367" s="65"/>
      <c r="C367" s="37">
        <f>SUMIF(Carico!$B$3:$B$975,B367,Carico!$C$3:$C$975)-(SUMIF(Scarico!$B$3:$B$997,B367,Scarico!$C$3:$C$997))+$D$4:$D$987</f>
        <v>0</v>
      </c>
      <c r="D367" s="59"/>
      <c r="E367" s="58"/>
      <c r="F367" s="40">
        <f t="shared" si="4"/>
        <v>0</v>
      </c>
    </row>
    <row r="368" ht="15.75" customHeight="1">
      <c r="B368" s="65"/>
      <c r="C368" s="37">
        <f>SUMIF(Carico!$B$3:$B$975,B368,Carico!$C$3:$C$975)-(SUMIF(Scarico!$B$3:$B$997,B368,Scarico!$C$3:$C$997))+$D$4:$D$987</f>
        <v>0</v>
      </c>
      <c r="D368" s="59"/>
      <c r="E368" s="58"/>
      <c r="F368" s="40">
        <f t="shared" si="4"/>
        <v>0</v>
      </c>
    </row>
    <row r="369" ht="15.75" customHeight="1">
      <c r="B369" s="65"/>
      <c r="C369" s="37">
        <f>SUMIF(Carico!$B$3:$B$975,B369,Carico!$C$3:$C$975)-(SUMIF(Scarico!$B$3:$B$997,B369,Scarico!$C$3:$C$997))+$D$4:$D$987</f>
        <v>0</v>
      </c>
      <c r="D369" s="59"/>
      <c r="E369" s="58"/>
      <c r="F369" s="40">
        <f t="shared" si="4"/>
        <v>0</v>
      </c>
    </row>
    <row r="370" ht="15.75" customHeight="1">
      <c r="B370" s="65"/>
      <c r="C370" s="37">
        <f>SUMIF(Carico!$B$3:$B$975,B370,Carico!$C$3:$C$975)-(SUMIF(Scarico!$B$3:$B$997,B370,Scarico!$C$3:$C$997))+$D$4:$D$987</f>
        <v>0</v>
      </c>
      <c r="D370" s="59"/>
      <c r="E370" s="58"/>
      <c r="F370" s="40">
        <f t="shared" si="4"/>
        <v>0</v>
      </c>
    </row>
    <row r="371" ht="15.75" customHeight="1">
      <c r="B371" s="65"/>
      <c r="C371" s="37">
        <f>SUMIF(Carico!$B$3:$B$975,B371,Carico!$C$3:$C$975)-(SUMIF(Scarico!$B$3:$B$997,B371,Scarico!$C$3:$C$997))+$D$4:$D$987</f>
        <v>0</v>
      </c>
      <c r="D371" s="59"/>
      <c r="E371" s="58"/>
      <c r="F371" s="40">
        <f t="shared" si="4"/>
        <v>0</v>
      </c>
    </row>
    <row r="372" ht="15.75" customHeight="1">
      <c r="B372" s="65"/>
      <c r="C372" s="37">
        <f>SUMIF(Carico!$B$3:$B$975,B372,Carico!$C$3:$C$975)-(SUMIF(Scarico!$B$3:$B$997,B372,Scarico!$C$3:$C$997))+$D$4:$D$987</f>
        <v>0</v>
      </c>
      <c r="D372" s="59"/>
      <c r="E372" s="58"/>
      <c r="F372" s="40">
        <f t="shared" si="4"/>
        <v>0</v>
      </c>
    </row>
    <row r="373" ht="15.75" customHeight="1">
      <c r="B373" s="65"/>
      <c r="C373" s="37">
        <f>SUMIF(Carico!$B$3:$B$975,B373,Carico!$C$3:$C$975)-(SUMIF(Scarico!$B$3:$B$997,B373,Scarico!$C$3:$C$997))+$D$4:$D$987</f>
        <v>0</v>
      </c>
      <c r="D373" s="59"/>
      <c r="E373" s="58"/>
      <c r="F373" s="40">
        <f t="shared" si="4"/>
        <v>0</v>
      </c>
    </row>
    <row r="374" ht="15.75" customHeight="1">
      <c r="B374" s="65"/>
      <c r="C374" s="37">
        <f>SUMIF(Carico!$B$3:$B$975,B374,Carico!$C$3:$C$975)-(SUMIF(Scarico!$B$3:$B$997,B374,Scarico!$C$3:$C$997))+$D$4:$D$987</f>
        <v>0</v>
      </c>
      <c r="D374" s="59"/>
      <c r="E374" s="58"/>
      <c r="F374" s="40">
        <f t="shared" si="4"/>
        <v>0</v>
      </c>
    </row>
    <row r="375" ht="15.75" customHeight="1">
      <c r="B375" s="65"/>
      <c r="C375" s="37">
        <f>SUMIF(Carico!$B$3:$B$975,B375,Carico!$C$3:$C$975)-(SUMIF(Scarico!$B$3:$B$997,B375,Scarico!$C$3:$C$997))+$D$4:$D$987</f>
        <v>0</v>
      </c>
      <c r="D375" s="59"/>
      <c r="E375" s="58"/>
      <c r="F375" s="40">
        <f t="shared" si="4"/>
        <v>0</v>
      </c>
    </row>
    <row r="376" ht="15.75" customHeight="1">
      <c r="B376" s="65"/>
      <c r="C376" s="37">
        <f>SUMIF(Carico!$B$3:$B$975,B376,Carico!$C$3:$C$975)-(SUMIF(Scarico!$B$3:$B$997,B376,Scarico!$C$3:$C$997))+$D$4:$D$987</f>
        <v>0</v>
      </c>
      <c r="D376" s="59"/>
      <c r="E376" s="58"/>
      <c r="F376" s="40">
        <f t="shared" si="4"/>
        <v>0</v>
      </c>
    </row>
    <row r="377" ht="15.75" customHeight="1">
      <c r="B377" s="65"/>
      <c r="C377" s="37">
        <f>SUMIF(Carico!$B$3:$B$975,B377,Carico!$C$3:$C$975)-(SUMIF(Scarico!$B$3:$B$997,B377,Scarico!$C$3:$C$997))+$D$4:$D$987</f>
        <v>0</v>
      </c>
      <c r="D377" s="59"/>
      <c r="E377" s="58"/>
      <c r="F377" s="40">
        <f t="shared" si="4"/>
        <v>0</v>
      </c>
    </row>
    <row r="378" ht="15.75" customHeight="1">
      <c r="B378" s="65"/>
      <c r="C378" s="37">
        <f>SUMIF(Carico!$B$3:$B$975,B378,Carico!$C$3:$C$975)-(SUMIF(Scarico!$B$3:$B$997,B378,Scarico!$C$3:$C$997))+$D$4:$D$987</f>
        <v>0</v>
      </c>
      <c r="D378" s="59"/>
      <c r="E378" s="58"/>
      <c r="F378" s="40">
        <f t="shared" si="4"/>
        <v>0</v>
      </c>
    </row>
    <row r="379" ht="15.75" customHeight="1">
      <c r="B379" s="65"/>
      <c r="C379" s="37">
        <f>SUMIF(Carico!$B$3:$B$975,B379,Carico!$C$3:$C$975)-(SUMIF(Scarico!$B$3:$B$997,B379,Scarico!$C$3:$C$997))+$D$4:$D$987</f>
        <v>0</v>
      </c>
      <c r="D379" s="59"/>
      <c r="E379" s="58"/>
      <c r="F379" s="40">
        <f t="shared" si="4"/>
        <v>0</v>
      </c>
    </row>
    <row r="380" ht="15.75" customHeight="1">
      <c r="B380" s="65"/>
      <c r="C380" s="37">
        <f>SUMIF(Carico!$B$3:$B$975,B380,Carico!$C$3:$C$975)-(SUMIF(Scarico!$B$3:$B$997,B380,Scarico!$C$3:$C$997))+$D$4:$D$987</f>
        <v>0</v>
      </c>
      <c r="D380" s="59"/>
      <c r="E380" s="58"/>
      <c r="F380" s="40">
        <f t="shared" si="4"/>
        <v>0</v>
      </c>
    </row>
    <row r="381" ht="15.75" customHeight="1">
      <c r="B381" s="65"/>
      <c r="C381" s="37">
        <f>SUMIF(Carico!$B$3:$B$975,B381,Carico!$C$3:$C$975)-(SUMIF(Scarico!$B$3:$B$997,B381,Scarico!$C$3:$C$997))+$D$4:$D$987</f>
        <v>0</v>
      </c>
      <c r="D381" s="59"/>
      <c r="E381" s="58"/>
      <c r="F381" s="40">
        <f t="shared" si="4"/>
        <v>0</v>
      </c>
    </row>
    <row r="382" ht="15.75" customHeight="1">
      <c r="B382" s="65"/>
      <c r="C382" s="37">
        <f>SUMIF(Carico!$B$3:$B$975,B382,Carico!$C$3:$C$975)-(SUMIF(Scarico!$B$3:$B$997,B382,Scarico!$C$3:$C$997))+$D$4:$D$987</f>
        <v>0</v>
      </c>
      <c r="D382" s="59"/>
      <c r="E382" s="58"/>
      <c r="F382" s="40">
        <f t="shared" si="4"/>
        <v>0</v>
      </c>
    </row>
    <row r="383" ht="15.75" customHeight="1">
      <c r="B383" s="65"/>
      <c r="C383" s="37">
        <f>SUMIF(Carico!$B$3:$B$975,B383,Carico!$C$3:$C$975)-(SUMIF(Scarico!$B$3:$B$997,B383,Scarico!$C$3:$C$997))+$D$4:$D$987</f>
        <v>0</v>
      </c>
      <c r="D383" s="59"/>
      <c r="E383" s="58"/>
      <c r="F383" s="40">
        <f t="shared" si="4"/>
        <v>0</v>
      </c>
    </row>
    <row r="384" ht="15.75" customHeight="1">
      <c r="B384" s="65"/>
      <c r="C384" s="37">
        <f>SUMIF(Carico!$B$3:$B$975,B384,Carico!$C$3:$C$975)-(SUMIF(Scarico!$B$3:$B$997,B384,Scarico!$C$3:$C$997))+$D$4:$D$987</f>
        <v>0</v>
      </c>
      <c r="D384" s="59"/>
      <c r="E384" s="58"/>
      <c r="F384" s="40">
        <f t="shared" si="4"/>
        <v>0</v>
      </c>
    </row>
    <row r="385" ht="15.75" customHeight="1">
      <c r="B385" s="65"/>
      <c r="C385" s="37">
        <f>SUMIF(Carico!$B$3:$B$975,B385,Carico!$C$3:$C$975)-(SUMIF(Scarico!$B$3:$B$997,B385,Scarico!$C$3:$C$997))+$D$4:$D$987</f>
        <v>0</v>
      </c>
      <c r="D385" s="59"/>
      <c r="E385" s="58"/>
      <c r="F385" s="40">
        <f t="shared" si="4"/>
        <v>0</v>
      </c>
    </row>
    <row r="386" ht="15.75" customHeight="1">
      <c r="B386" s="65"/>
      <c r="C386" s="37">
        <f>SUMIF(Carico!$B$3:$B$975,B386,Carico!$C$3:$C$975)-(SUMIF(Scarico!$B$3:$B$997,B386,Scarico!$C$3:$C$997))+$D$4:$D$987</f>
        <v>0</v>
      </c>
      <c r="D386" s="59"/>
      <c r="E386" s="58"/>
      <c r="F386" s="40">
        <f t="shared" si="4"/>
        <v>0</v>
      </c>
    </row>
    <row r="387" ht="15.75" customHeight="1">
      <c r="B387" s="65"/>
      <c r="C387" s="37">
        <f>SUMIF(Carico!$B$3:$B$975,B387,Carico!$C$3:$C$975)-(SUMIF(Scarico!$B$3:$B$997,B387,Scarico!$C$3:$C$997))+$D$4:$D$987</f>
        <v>0</v>
      </c>
      <c r="D387" s="59"/>
      <c r="E387" s="58"/>
      <c r="F387" s="40">
        <f t="shared" si="4"/>
        <v>0</v>
      </c>
    </row>
    <row r="388" ht="15.75" customHeight="1">
      <c r="B388" s="65"/>
      <c r="C388" s="37">
        <f>SUMIF(Carico!$B$3:$B$975,B388,Carico!$C$3:$C$975)-(SUMIF(Scarico!$B$3:$B$997,B388,Scarico!$C$3:$C$997))+$D$4:$D$987</f>
        <v>0</v>
      </c>
      <c r="D388" s="59"/>
      <c r="E388" s="58"/>
      <c r="F388" s="40">
        <f t="shared" si="4"/>
        <v>0</v>
      </c>
    </row>
    <row r="389" ht="15.75" customHeight="1">
      <c r="B389" s="65"/>
      <c r="C389" s="37">
        <f>SUMIF(Carico!$B$3:$B$975,B389,Carico!$C$3:$C$975)-(SUMIF(Scarico!$B$3:$B$997,B389,Scarico!$C$3:$C$997))+$D$4:$D$987</f>
        <v>0</v>
      </c>
      <c r="D389" s="59"/>
      <c r="E389" s="58"/>
      <c r="F389" s="40">
        <f t="shared" si="4"/>
        <v>0</v>
      </c>
    </row>
    <row r="390" ht="15.75" customHeight="1">
      <c r="B390" s="65"/>
      <c r="C390" s="37">
        <f>SUMIF(Carico!$B$3:$B$975,B390,Carico!$C$3:$C$975)-(SUMIF(Scarico!$B$3:$B$997,B390,Scarico!$C$3:$C$997))+$D$4:$D$987</f>
        <v>0</v>
      </c>
      <c r="D390" s="59"/>
      <c r="E390" s="58"/>
      <c r="F390" s="40">
        <f t="shared" si="4"/>
        <v>0</v>
      </c>
    </row>
    <row r="391" ht="15.75" customHeight="1">
      <c r="B391" s="65"/>
      <c r="C391" s="37">
        <f>SUMIF(Carico!$B$3:$B$975,B391,Carico!$C$3:$C$975)-(SUMIF(Scarico!$B$3:$B$997,B391,Scarico!$C$3:$C$997))+$D$4:$D$987</f>
        <v>0</v>
      </c>
      <c r="D391" s="59"/>
      <c r="E391" s="58"/>
      <c r="F391" s="40">
        <f t="shared" si="4"/>
        <v>0</v>
      </c>
    </row>
    <row r="392" ht="15.75" customHeight="1">
      <c r="B392" s="65"/>
      <c r="C392" s="37">
        <f>SUMIF(Carico!$B$3:$B$975,B392,Carico!$C$3:$C$975)-(SUMIF(Scarico!$B$3:$B$997,B392,Scarico!$C$3:$C$997))+$D$4:$D$987</f>
        <v>0</v>
      </c>
      <c r="D392" s="59"/>
      <c r="E392" s="58"/>
      <c r="F392" s="40">
        <f t="shared" si="4"/>
        <v>0</v>
      </c>
    </row>
    <row r="393" ht="15.75" customHeight="1">
      <c r="B393" s="65"/>
      <c r="C393" s="37">
        <f>SUMIF(Carico!$B$3:$B$975,B393,Carico!$C$3:$C$975)-(SUMIF(Scarico!$B$3:$B$997,B393,Scarico!$C$3:$C$997))+$D$4:$D$987</f>
        <v>0</v>
      </c>
      <c r="D393" s="59"/>
      <c r="E393" s="58"/>
      <c r="F393" s="40">
        <f t="shared" si="4"/>
        <v>0</v>
      </c>
    </row>
    <row r="394" ht="15.75" customHeight="1">
      <c r="B394" s="65"/>
      <c r="C394" s="37">
        <f>SUMIF(Carico!$B$3:$B$975,B394,Carico!$C$3:$C$975)-(SUMIF(Scarico!$B$3:$B$997,B394,Scarico!$C$3:$C$997))+$D$4:$D$987</f>
        <v>0</v>
      </c>
      <c r="D394" s="59"/>
      <c r="E394" s="58"/>
      <c r="F394" s="40">
        <f t="shared" si="4"/>
        <v>0</v>
      </c>
    </row>
    <row r="395" ht="15.75" customHeight="1">
      <c r="B395" s="65"/>
      <c r="C395" s="37">
        <f>SUMIF(Carico!$B$3:$B$975,B395,Carico!$C$3:$C$975)-(SUMIF(Scarico!$B$3:$B$997,B395,Scarico!$C$3:$C$997))+$D$4:$D$987</f>
        <v>0</v>
      </c>
      <c r="D395" s="59"/>
      <c r="E395" s="58"/>
      <c r="F395" s="40">
        <f t="shared" si="4"/>
        <v>0</v>
      </c>
    </row>
    <row r="396" ht="15.75" customHeight="1">
      <c r="B396" s="65"/>
      <c r="C396" s="37">
        <f>SUMIF(Carico!$B$3:$B$975,B396,Carico!$C$3:$C$975)-(SUMIF(Scarico!$B$3:$B$997,B396,Scarico!$C$3:$C$997))+$D$4:$D$987</f>
        <v>0</v>
      </c>
      <c r="D396" s="59"/>
      <c r="E396" s="58"/>
      <c r="F396" s="40">
        <f t="shared" si="4"/>
        <v>0</v>
      </c>
    </row>
    <row r="397" ht="15.75" customHeight="1">
      <c r="B397" s="65"/>
      <c r="C397" s="37">
        <f>SUMIF(Carico!$B$3:$B$975,B397,Carico!$C$3:$C$975)-(SUMIF(Scarico!$B$3:$B$997,B397,Scarico!$C$3:$C$997))+$D$4:$D$987</f>
        <v>0</v>
      </c>
      <c r="D397" s="59"/>
      <c r="E397" s="58"/>
      <c r="F397" s="40">
        <f t="shared" si="4"/>
        <v>0</v>
      </c>
    </row>
    <row r="398" ht="15.75" customHeight="1">
      <c r="B398" s="65"/>
      <c r="C398" s="37">
        <f>SUMIF(Carico!$B$3:$B$975,B398,Carico!$C$3:$C$975)-(SUMIF(Scarico!$B$3:$B$997,B398,Scarico!$C$3:$C$997))+$D$4:$D$987</f>
        <v>0</v>
      </c>
      <c r="D398" s="59"/>
      <c r="E398" s="58"/>
      <c r="F398" s="40">
        <f t="shared" si="4"/>
        <v>0</v>
      </c>
    </row>
    <row r="399" ht="15.75" customHeight="1">
      <c r="B399" s="65"/>
      <c r="C399" s="37">
        <f>SUMIF(Carico!$B$3:$B$975,B399,Carico!$C$3:$C$975)-(SUMIF(Scarico!$B$3:$B$997,B399,Scarico!$C$3:$C$997))+$D$4:$D$987</f>
        <v>0</v>
      </c>
      <c r="D399" s="59"/>
      <c r="E399" s="58"/>
      <c r="F399" s="40">
        <f t="shared" si="4"/>
        <v>0</v>
      </c>
    </row>
    <row r="400" ht="15.75" customHeight="1">
      <c r="B400" s="65"/>
      <c r="C400" s="37">
        <f>SUMIF(Carico!$B$3:$B$975,B400,Carico!$C$3:$C$975)-(SUMIF(Scarico!$B$3:$B$997,B400,Scarico!$C$3:$C$997))+$D$4:$D$987</f>
        <v>0</v>
      </c>
      <c r="D400" s="59"/>
      <c r="E400" s="58"/>
      <c r="F400" s="40">
        <f t="shared" si="4"/>
        <v>0</v>
      </c>
    </row>
    <row r="401" ht="15.75" customHeight="1">
      <c r="B401" s="65"/>
      <c r="C401" s="37">
        <f>SUMIF(Carico!$B$3:$B$975,B401,Carico!$C$3:$C$975)-(SUMIF(Scarico!$B$3:$B$997,B401,Scarico!$C$3:$C$997))+$D$4:$D$987</f>
        <v>0</v>
      </c>
      <c r="D401" s="59"/>
      <c r="E401" s="58"/>
      <c r="F401" s="40">
        <f t="shared" si="4"/>
        <v>0</v>
      </c>
    </row>
    <row r="402" ht="15.75" customHeight="1">
      <c r="B402" s="65"/>
      <c r="C402" s="37">
        <f>SUMIF(Carico!$B$3:$B$975,B402,Carico!$C$3:$C$975)-(SUMIF(Scarico!$B$3:$B$997,B402,Scarico!$C$3:$C$997))+$D$4:$D$987</f>
        <v>0</v>
      </c>
      <c r="D402" s="59"/>
      <c r="E402" s="58"/>
      <c r="F402" s="40">
        <f t="shared" si="4"/>
        <v>0</v>
      </c>
    </row>
    <row r="403" ht="15.75" customHeight="1">
      <c r="B403" s="65"/>
      <c r="C403" s="37">
        <f>SUMIF(Carico!$B$3:$B$975,B403,Carico!$C$3:$C$975)-(SUMIF(Scarico!$B$3:$B$997,B403,Scarico!$C$3:$C$997))+$D$4:$D$987</f>
        <v>0</v>
      </c>
      <c r="D403" s="59"/>
      <c r="E403" s="58"/>
      <c r="F403" s="40">
        <f t="shared" si="4"/>
        <v>0</v>
      </c>
    </row>
    <row r="404" ht="15.75" customHeight="1">
      <c r="B404" s="65"/>
      <c r="C404" s="37">
        <f>SUMIF(Carico!$B$3:$B$975,B404,Carico!$C$3:$C$975)-(SUMIF(Scarico!$B$3:$B$997,B404,Scarico!$C$3:$C$997))+$D$4:$D$987</f>
        <v>0</v>
      </c>
      <c r="D404" s="59"/>
      <c r="E404" s="58"/>
      <c r="F404" s="40">
        <f t="shared" si="4"/>
        <v>0</v>
      </c>
    </row>
    <row r="405" ht="15.75" customHeight="1">
      <c r="B405" s="65"/>
      <c r="C405" s="37">
        <f>SUMIF(Carico!$B$3:$B$975,B405,Carico!$C$3:$C$975)-(SUMIF(Scarico!$B$3:$B$997,B405,Scarico!$C$3:$C$997))+$D$4:$D$987</f>
        <v>0</v>
      </c>
      <c r="D405" s="59"/>
      <c r="E405" s="58"/>
      <c r="F405" s="40">
        <f t="shared" si="4"/>
        <v>0</v>
      </c>
    </row>
    <row r="406" ht="15.75" customHeight="1">
      <c r="B406" s="65"/>
      <c r="C406" s="37">
        <f>SUMIF(Carico!$B$3:$B$975,B406,Carico!$C$3:$C$975)-(SUMIF(Scarico!$B$3:$B$997,B406,Scarico!$C$3:$C$997))+$D$4:$D$987</f>
        <v>0</v>
      </c>
      <c r="D406" s="59"/>
      <c r="E406" s="58"/>
      <c r="F406" s="40">
        <f t="shared" si="4"/>
        <v>0</v>
      </c>
    </row>
    <row r="407" ht="15.75" customHeight="1">
      <c r="B407" s="65"/>
      <c r="C407" s="37">
        <f>SUMIF(Carico!$B$3:$B$975,B407,Carico!$C$3:$C$975)-(SUMIF(Scarico!$B$3:$B$997,B407,Scarico!$C$3:$C$997))+$D$4:$D$987</f>
        <v>0</v>
      </c>
      <c r="D407" s="59"/>
      <c r="E407" s="58"/>
      <c r="F407" s="40">
        <f t="shared" si="4"/>
        <v>0</v>
      </c>
    </row>
    <row r="408" ht="15.75" customHeight="1">
      <c r="B408" s="65"/>
      <c r="C408" s="37">
        <f>SUMIF(Carico!$B$3:$B$975,B408,Carico!$C$3:$C$975)-(SUMIF(Scarico!$B$3:$B$997,B408,Scarico!$C$3:$C$997))+$D$4:$D$987</f>
        <v>0</v>
      </c>
      <c r="D408" s="59"/>
      <c r="E408" s="58"/>
      <c r="F408" s="40">
        <f t="shared" si="4"/>
        <v>0</v>
      </c>
    </row>
    <row r="409" ht="15.75" customHeight="1">
      <c r="B409" s="65"/>
      <c r="C409" s="37">
        <f>SUMIF(Carico!$B$3:$B$975,B409,Carico!$C$3:$C$975)-(SUMIF(Scarico!$B$3:$B$997,B409,Scarico!$C$3:$C$997))+$D$4:$D$987</f>
        <v>0</v>
      </c>
      <c r="D409" s="59"/>
      <c r="E409" s="58"/>
      <c r="F409" s="40">
        <f t="shared" si="4"/>
        <v>0</v>
      </c>
    </row>
    <row r="410" ht="15.75" customHeight="1">
      <c r="B410" s="65"/>
      <c r="C410" s="37">
        <f>SUMIF(Carico!$B$3:$B$975,B410,Carico!$C$3:$C$975)-(SUMIF(Scarico!$B$3:$B$997,B410,Scarico!$C$3:$C$997))+$D$4:$D$987</f>
        <v>0</v>
      </c>
      <c r="D410" s="59"/>
      <c r="E410" s="58"/>
      <c r="F410" s="40">
        <f t="shared" si="4"/>
        <v>0</v>
      </c>
    </row>
    <row r="411" ht="15.75" customHeight="1">
      <c r="B411" s="65"/>
      <c r="C411" s="37">
        <f>SUMIF(Carico!$B$3:$B$975,B411,Carico!$C$3:$C$975)-(SUMIF(Scarico!$B$3:$B$997,B411,Scarico!$C$3:$C$997))+$D$4:$D$987</f>
        <v>0</v>
      </c>
      <c r="D411" s="59"/>
      <c r="E411" s="58"/>
      <c r="F411" s="40">
        <f t="shared" si="4"/>
        <v>0</v>
      </c>
    </row>
    <row r="412" ht="15.75" customHeight="1">
      <c r="B412" s="65"/>
      <c r="C412" s="37">
        <f>SUMIF(Carico!$B$3:$B$975,B412,Carico!$C$3:$C$975)-(SUMIF(Scarico!$B$3:$B$997,B412,Scarico!$C$3:$C$997))+$D$4:$D$987</f>
        <v>0</v>
      </c>
      <c r="D412" s="59"/>
      <c r="E412" s="58"/>
      <c r="F412" s="40">
        <f t="shared" si="4"/>
        <v>0</v>
      </c>
    </row>
    <row r="413" ht="15.75" customHeight="1">
      <c r="B413" s="65"/>
      <c r="C413" s="37">
        <f>SUMIF(Carico!$B$3:$B$975,B413,Carico!$C$3:$C$975)-(SUMIF(Scarico!$B$3:$B$997,B413,Scarico!$C$3:$C$997))+$D$4:$D$987</f>
        <v>0</v>
      </c>
      <c r="D413" s="59"/>
      <c r="E413" s="58"/>
      <c r="F413" s="40">
        <f t="shared" si="4"/>
        <v>0</v>
      </c>
    </row>
    <row r="414" ht="15.75" customHeight="1">
      <c r="B414" s="65"/>
      <c r="C414" s="37">
        <f>SUMIF(Carico!$B$3:$B$975,B414,Carico!$C$3:$C$975)-(SUMIF(Scarico!$B$3:$B$997,B414,Scarico!$C$3:$C$997))+$D$4:$D$987</f>
        <v>0</v>
      </c>
      <c r="D414" s="59"/>
      <c r="E414" s="58"/>
      <c r="F414" s="40">
        <f t="shared" si="4"/>
        <v>0</v>
      </c>
    </row>
    <row r="415" ht="15.75" customHeight="1">
      <c r="B415" s="65"/>
      <c r="C415" s="37">
        <f>SUMIF(Carico!$B$3:$B$975,B415,Carico!$C$3:$C$975)-(SUMIF(Scarico!$B$3:$B$997,B415,Scarico!$C$3:$C$997))+$D$4:$D$987</f>
        <v>0</v>
      </c>
      <c r="D415" s="59"/>
      <c r="E415" s="58"/>
      <c r="F415" s="40">
        <f t="shared" si="4"/>
        <v>0</v>
      </c>
    </row>
    <row r="416" ht="15.75" customHeight="1">
      <c r="B416" s="65"/>
      <c r="C416" s="37">
        <f>SUMIF(Carico!$B$3:$B$975,B416,Carico!$C$3:$C$975)-(SUMIF(Scarico!$B$3:$B$997,B416,Scarico!$C$3:$C$997))+$D$4:$D$987</f>
        <v>0</v>
      </c>
      <c r="D416" s="59"/>
      <c r="E416" s="58"/>
      <c r="F416" s="40">
        <f t="shared" si="4"/>
        <v>0</v>
      </c>
    </row>
    <row r="417" ht="15.75" customHeight="1">
      <c r="B417" s="65"/>
      <c r="C417" s="37">
        <f>SUMIF(Carico!$B$3:$B$975,B417,Carico!$C$3:$C$975)-(SUMIF(Scarico!$B$3:$B$997,B417,Scarico!$C$3:$C$997))+$D$4:$D$987</f>
        <v>0</v>
      </c>
      <c r="D417" s="59"/>
      <c r="E417" s="58"/>
      <c r="F417" s="40">
        <f t="shared" si="4"/>
        <v>0</v>
      </c>
    </row>
    <row r="418" ht="15.75" customHeight="1">
      <c r="B418" s="65"/>
      <c r="C418" s="37">
        <f>SUMIF(Carico!$B$3:$B$975,B418,Carico!$C$3:$C$975)-(SUMIF(Scarico!$B$3:$B$997,B418,Scarico!$C$3:$C$997))+$D$4:$D$987</f>
        <v>0</v>
      </c>
      <c r="D418" s="59"/>
      <c r="E418" s="58"/>
      <c r="F418" s="40">
        <f t="shared" si="4"/>
        <v>0</v>
      </c>
    </row>
    <row r="419" ht="15.75" customHeight="1">
      <c r="B419" s="65"/>
      <c r="C419" s="37">
        <f>SUMIF(Carico!$B$3:$B$975,B419,Carico!$C$3:$C$975)-(SUMIF(Scarico!$B$3:$B$997,B419,Scarico!$C$3:$C$997))+$D$4:$D$987</f>
        <v>0</v>
      </c>
      <c r="D419" s="59"/>
      <c r="E419" s="58"/>
      <c r="F419" s="40">
        <f t="shared" si="4"/>
        <v>0</v>
      </c>
    </row>
    <row r="420" ht="15.75" customHeight="1">
      <c r="B420" s="65"/>
      <c r="C420" s="37">
        <f>SUMIF(Carico!$B$3:$B$975,B420,Carico!$C$3:$C$975)-(SUMIF(Scarico!$B$3:$B$997,B420,Scarico!$C$3:$C$997))+$D$4:$D$987</f>
        <v>0</v>
      </c>
      <c r="D420" s="59"/>
      <c r="E420" s="58"/>
      <c r="F420" s="40">
        <f t="shared" si="4"/>
        <v>0</v>
      </c>
    </row>
    <row r="421" ht="15.75" customHeight="1">
      <c r="B421" s="65"/>
      <c r="C421" s="37">
        <f>SUMIF(Carico!$B$3:$B$975,B421,Carico!$C$3:$C$975)-(SUMIF(Scarico!$B$3:$B$997,B421,Scarico!$C$3:$C$997))+$D$4:$D$987</f>
        <v>0</v>
      </c>
      <c r="D421" s="59"/>
      <c r="E421" s="58"/>
      <c r="F421" s="40">
        <f t="shared" si="4"/>
        <v>0</v>
      </c>
    </row>
    <row r="422" ht="15.75" customHeight="1">
      <c r="B422" s="65"/>
      <c r="C422" s="37">
        <f>SUMIF(Carico!$B$3:$B$975,B422,Carico!$C$3:$C$975)-(SUMIF(Scarico!$B$3:$B$997,B422,Scarico!$C$3:$C$997))+$D$4:$D$987</f>
        <v>0</v>
      </c>
      <c r="D422" s="59"/>
      <c r="E422" s="58"/>
      <c r="F422" s="40">
        <f t="shared" si="4"/>
        <v>0</v>
      </c>
    </row>
    <row r="423" ht="15.75" customHeight="1">
      <c r="B423" s="65"/>
      <c r="C423" s="37">
        <f>SUMIF(Carico!$B$3:$B$975,B423,Carico!$C$3:$C$975)-(SUMIF(Scarico!$B$3:$B$997,B423,Scarico!$C$3:$C$997))+$D$4:$D$987</f>
        <v>0</v>
      </c>
      <c r="D423" s="59"/>
      <c r="E423" s="58"/>
      <c r="F423" s="40">
        <f t="shared" si="4"/>
        <v>0</v>
      </c>
    </row>
    <row r="424" ht="15.75" customHeight="1">
      <c r="B424" s="65"/>
      <c r="C424" s="37">
        <f>SUMIF(Carico!$B$3:$B$975,B424,Carico!$C$3:$C$975)-(SUMIF(Scarico!$B$3:$B$997,B424,Scarico!$C$3:$C$997))+$D$4:$D$987</f>
        <v>0</v>
      </c>
      <c r="D424" s="59"/>
      <c r="E424" s="58"/>
      <c r="F424" s="40">
        <f t="shared" si="4"/>
        <v>0</v>
      </c>
    </row>
    <row r="425" ht="15.75" customHeight="1">
      <c r="B425" s="65"/>
      <c r="C425" s="37">
        <f>SUMIF(Carico!$B$3:$B$975,B425,Carico!$C$3:$C$975)-(SUMIF(Scarico!$B$3:$B$997,B425,Scarico!$C$3:$C$997))+$D$4:$D$987</f>
        <v>0</v>
      </c>
      <c r="D425" s="59"/>
      <c r="E425" s="58"/>
      <c r="F425" s="40">
        <f t="shared" si="4"/>
        <v>0</v>
      </c>
    </row>
    <row r="426" ht="15.75" customHeight="1">
      <c r="B426" s="65"/>
      <c r="C426" s="37">
        <f>SUMIF(Carico!$B$3:$B$975,B426,Carico!$C$3:$C$975)-(SUMIF(Scarico!$B$3:$B$997,B426,Scarico!$C$3:$C$997))+$D$4:$D$987</f>
        <v>0</v>
      </c>
      <c r="D426" s="59"/>
      <c r="E426" s="58"/>
      <c r="F426" s="40">
        <f t="shared" si="4"/>
        <v>0</v>
      </c>
    </row>
    <row r="427" ht="15.75" customHeight="1">
      <c r="B427" s="65"/>
      <c r="C427" s="37">
        <f>SUMIF(Carico!$B$3:$B$975,B427,Carico!$C$3:$C$975)-(SUMIF(Scarico!$B$3:$B$997,B427,Scarico!$C$3:$C$997))+$D$4:$D$987</f>
        <v>0</v>
      </c>
      <c r="D427" s="59"/>
      <c r="E427" s="58"/>
      <c r="F427" s="40">
        <f t="shared" si="4"/>
        <v>0</v>
      </c>
    </row>
    <row r="428" ht="15.75" customHeight="1">
      <c r="B428" s="65"/>
      <c r="C428" s="37">
        <f>SUMIF(Carico!$B$3:$B$975,B428,Carico!$C$3:$C$975)-(SUMIF(Scarico!$B$3:$B$997,B428,Scarico!$C$3:$C$997))+$D$4:$D$987</f>
        <v>0</v>
      </c>
      <c r="D428" s="59"/>
      <c r="E428" s="58"/>
      <c r="F428" s="40">
        <f t="shared" si="4"/>
        <v>0</v>
      </c>
    </row>
    <row r="429" ht="15.75" customHeight="1">
      <c r="B429" s="65"/>
      <c r="C429" s="37">
        <f>SUMIF(Carico!$B$3:$B$975,B429,Carico!$C$3:$C$975)-(SUMIF(Scarico!$B$3:$B$997,B429,Scarico!$C$3:$C$997))+$D$4:$D$987</f>
        <v>0</v>
      </c>
      <c r="D429" s="59"/>
      <c r="E429" s="58"/>
      <c r="F429" s="40">
        <f t="shared" si="4"/>
        <v>0</v>
      </c>
    </row>
    <row r="430" ht="15.75" customHeight="1">
      <c r="B430" s="65"/>
      <c r="C430" s="37">
        <f>SUMIF(Carico!$B$3:$B$975,B430,Carico!$C$3:$C$975)-(SUMIF(Scarico!$B$3:$B$997,B430,Scarico!$C$3:$C$997))+$D$4:$D$987</f>
        <v>0</v>
      </c>
      <c r="D430" s="59"/>
      <c r="E430" s="58"/>
      <c r="F430" s="40">
        <f t="shared" si="4"/>
        <v>0</v>
      </c>
    </row>
    <row r="431" ht="15.75" customHeight="1">
      <c r="B431" s="65"/>
      <c r="C431" s="37">
        <f>SUMIF(Carico!$B$3:$B$975,B431,Carico!$C$3:$C$975)-(SUMIF(Scarico!$B$3:$B$997,B431,Scarico!$C$3:$C$997))+$D$4:$D$987</f>
        <v>0</v>
      </c>
      <c r="D431" s="59"/>
      <c r="E431" s="58"/>
      <c r="F431" s="40">
        <f t="shared" si="4"/>
        <v>0</v>
      </c>
    </row>
    <row r="432" ht="15.75" customHeight="1">
      <c r="B432" s="65"/>
      <c r="C432" s="37">
        <f>SUMIF(Carico!$B$3:$B$975,B432,Carico!$C$3:$C$975)-(SUMIF(Scarico!$B$3:$B$997,B432,Scarico!$C$3:$C$997))+$D$4:$D$987</f>
        <v>0</v>
      </c>
      <c r="D432" s="59"/>
      <c r="E432" s="58"/>
      <c r="F432" s="40">
        <f t="shared" si="4"/>
        <v>0</v>
      </c>
    </row>
    <row r="433" ht="15.75" customHeight="1">
      <c r="B433" s="65"/>
      <c r="C433" s="37">
        <f>SUMIF(Carico!$B$3:$B$975,B433,Carico!$C$3:$C$975)-(SUMIF(Scarico!$B$3:$B$997,B433,Scarico!$C$3:$C$997))+$D$4:$D$987</f>
        <v>0</v>
      </c>
      <c r="D433" s="59"/>
      <c r="E433" s="58"/>
      <c r="F433" s="40">
        <f t="shared" si="4"/>
        <v>0</v>
      </c>
    </row>
    <row r="434" ht="15.75" customHeight="1">
      <c r="B434" s="65"/>
      <c r="C434" s="37">
        <f>SUMIF(Carico!$B$3:$B$975,B434,Carico!$C$3:$C$975)-(SUMIF(Scarico!$B$3:$B$997,B434,Scarico!$C$3:$C$997))+$D$4:$D$987</f>
        <v>0</v>
      </c>
      <c r="D434" s="59"/>
      <c r="E434" s="58"/>
      <c r="F434" s="40">
        <f t="shared" si="4"/>
        <v>0</v>
      </c>
    </row>
    <row r="435" ht="15.75" customHeight="1">
      <c r="B435" s="65"/>
      <c r="C435" s="37">
        <f>SUMIF(Carico!$B$3:$B$975,B435,Carico!$C$3:$C$975)-(SUMIF(Scarico!$B$3:$B$997,B435,Scarico!$C$3:$C$997))+$D$4:$D$987</f>
        <v>0</v>
      </c>
      <c r="D435" s="59"/>
      <c r="E435" s="58"/>
      <c r="F435" s="40">
        <f t="shared" si="4"/>
        <v>0</v>
      </c>
    </row>
    <row r="436" ht="15.75" customHeight="1">
      <c r="B436" s="65"/>
      <c r="C436" s="37">
        <f>SUMIF(Carico!$B$3:$B$975,B436,Carico!$C$3:$C$975)-(SUMIF(Scarico!$B$3:$B$997,B436,Scarico!$C$3:$C$997))+$D$4:$D$987</f>
        <v>0</v>
      </c>
      <c r="D436" s="59"/>
      <c r="E436" s="58"/>
      <c r="F436" s="40">
        <f t="shared" si="4"/>
        <v>0</v>
      </c>
    </row>
    <row r="437" ht="15.75" customHeight="1">
      <c r="B437" s="65"/>
      <c r="C437" s="37">
        <f>SUMIF(Carico!$B$3:$B$975,B437,Carico!$C$3:$C$975)-(SUMIF(Scarico!$B$3:$B$997,B437,Scarico!$C$3:$C$997))+$D$4:$D$987</f>
        <v>0</v>
      </c>
      <c r="D437" s="59"/>
      <c r="E437" s="58"/>
      <c r="F437" s="40">
        <f t="shared" si="4"/>
        <v>0</v>
      </c>
    </row>
    <row r="438" ht="15.75" customHeight="1">
      <c r="B438" s="65"/>
      <c r="C438" s="37">
        <f>SUMIF(Carico!$B$3:$B$975,B438,Carico!$C$3:$C$975)-(SUMIF(Scarico!$B$3:$B$997,B438,Scarico!$C$3:$C$997))+$D$4:$D$987</f>
        <v>0</v>
      </c>
      <c r="D438" s="59"/>
      <c r="E438" s="58"/>
      <c r="F438" s="40">
        <f t="shared" si="4"/>
        <v>0</v>
      </c>
    </row>
    <row r="439" ht="15.75" customHeight="1">
      <c r="B439" s="65"/>
      <c r="C439" s="37">
        <f>SUMIF(Carico!$B$3:$B$975,B439,Carico!$C$3:$C$975)-(SUMIF(Scarico!$B$3:$B$997,B439,Scarico!$C$3:$C$997))+$D$4:$D$987</f>
        <v>0</v>
      </c>
      <c r="D439" s="59"/>
      <c r="E439" s="58"/>
      <c r="F439" s="40">
        <f t="shared" si="4"/>
        <v>0</v>
      </c>
    </row>
    <row r="440" ht="15.75" customHeight="1">
      <c r="B440" s="65"/>
      <c r="C440" s="37">
        <f>SUMIF(Carico!$B$3:$B$975,B440,Carico!$C$3:$C$975)-(SUMIF(Scarico!$B$3:$B$997,B440,Scarico!$C$3:$C$997))+$D$4:$D$987</f>
        <v>0</v>
      </c>
      <c r="D440" s="59"/>
      <c r="E440" s="58"/>
      <c r="F440" s="40">
        <f t="shared" si="4"/>
        <v>0</v>
      </c>
    </row>
    <row r="441" ht="15.75" customHeight="1">
      <c r="B441" s="65"/>
      <c r="C441" s="37">
        <f>SUMIF(Carico!$B$3:$B$975,B441,Carico!$C$3:$C$975)-(SUMIF(Scarico!$B$3:$B$997,B441,Scarico!$C$3:$C$997))+$D$4:$D$987</f>
        <v>0</v>
      </c>
      <c r="D441" s="59"/>
      <c r="E441" s="58"/>
      <c r="F441" s="40">
        <f t="shared" si="4"/>
        <v>0</v>
      </c>
    </row>
    <row r="442" ht="15.75" customHeight="1">
      <c r="B442" s="65"/>
      <c r="C442" s="37">
        <f>SUMIF(Carico!$B$3:$B$975,B442,Carico!$C$3:$C$975)-(SUMIF(Scarico!$B$3:$B$997,B442,Scarico!$C$3:$C$997))+$D$4:$D$987</f>
        <v>0</v>
      </c>
      <c r="D442" s="59"/>
      <c r="E442" s="58"/>
      <c r="F442" s="40">
        <f t="shared" si="4"/>
        <v>0</v>
      </c>
    </row>
    <row r="443" ht="15.75" customHeight="1">
      <c r="B443" s="65"/>
      <c r="C443" s="37">
        <f>SUMIF(Carico!$B$3:$B$975,B443,Carico!$C$3:$C$975)-(SUMIF(Scarico!$B$3:$B$997,B443,Scarico!$C$3:$C$997))+$D$4:$D$987</f>
        <v>0</v>
      </c>
      <c r="D443" s="59"/>
      <c r="E443" s="58"/>
      <c r="F443" s="40">
        <f t="shared" si="4"/>
        <v>0</v>
      </c>
    </row>
    <row r="444" ht="15.75" customHeight="1">
      <c r="B444" s="65"/>
      <c r="C444" s="37">
        <f>SUMIF(Carico!$B$3:$B$975,B444,Carico!$C$3:$C$975)-(SUMIF(Scarico!$B$3:$B$997,B444,Scarico!$C$3:$C$997))+$D$4:$D$987</f>
        <v>0</v>
      </c>
      <c r="D444" s="59"/>
      <c r="E444" s="58"/>
      <c r="F444" s="40">
        <f t="shared" si="4"/>
        <v>0</v>
      </c>
    </row>
    <row r="445" ht="15.75" customHeight="1">
      <c r="B445" s="65"/>
      <c r="C445" s="37">
        <f>SUMIF(Carico!$B$3:$B$975,B445,Carico!$C$3:$C$975)-(SUMIF(Scarico!$B$3:$B$997,B445,Scarico!$C$3:$C$997))+$D$4:$D$987</f>
        <v>0</v>
      </c>
      <c r="D445" s="59"/>
      <c r="E445" s="58"/>
      <c r="F445" s="40">
        <f t="shared" si="4"/>
        <v>0</v>
      </c>
    </row>
    <row r="446" ht="15.75" customHeight="1">
      <c r="B446" s="65"/>
      <c r="C446" s="37">
        <f>SUMIF(Carico!$B$3:$B$975,B446,Carico!$C$3:$C$975)-(SUMIF(Scarico!$B$3:$B$997,B446,Scarico!$C$3:$C$997))+$D$4:$D$987</f>
        <v>0</v>
      </c>
      <c r="D446" s="59"/>
      <c r="E446" s="58"/>
      <c r="F446" s="40">
        <f t="shared" si="4"/>
        <v>0</v>
      </c>
    </row>
    <row r="447" ht="15.75" customHeight="1">
      <c r="B447" s="65"/>
      <c r="C447" s="37">
        <f>SUMIF(Carico!$B$3:$B$975,B447,Carico!$C$3:$C$975)-(SUMIF(Scarico!$B$3:$B$997,B447,Scarico!$C$3:$C$997))+$D$4:$D$987</f>
        <v>0</v>
      </c>
      <c r="D447" s="59"/>
      <c r="E447" s="58"/>
      <c r="F447" s="40">
        <f t="shared" si="4"/>
        <v>0</v>
      </c>
    </row>
    <row r="448" ht="15.75" customHeight="1">
      <c r="B448" s="65"/>
      <c r="C448" s="37">
        <f>SUMIF(Carico!$B$3:$B$975,B448,Carico!$C$3:$C$975)-(SUMIF(Scarico!$B$3:$B$997,B448,Scarico!$C$3:$C$997))+$D$4:$D$987</f>
        <v>0</v>
      </c>
      <c r="D448" s="59"/>
      <c r="E448" s="58"/>
      <c r="F448" s="40">
        <f t="shared" si="4"/>
        <v>0</v>
      </c>
    </row>
    <row r="449" ht="15.75" customHeight="1">
      <c r="B449" s="65"/>
      <c r="C449" s="37">
        <f>SUMIF(Carico!$B$3:$B$975,B449,Carico!$C$3:$C$975)-(SUMIF(Scarico!$B$3:$B$997,B449,Scarico!$C$3:$C$997))+$D$4:$D$987</f>
        <v>0</v>
      </c>
      <c r="D449" s="59"/>
      <c r="E449" s="58"/>
      <c r="F449" s="40">
        <f t="shared" si="4"/>
        <v>0</v>
      </c>
    </row>
    <row r="450" ht="15.75" customHeight="1">
      <c r="B450" s="65"/>
      <c r="C450" s="37">
        <f>SUMIF(Carico!$B$3:$B$975,B450,Carico!$C$3:$C$975)-(SUMIF(Scarico!$B$3:$B$997,B450,Scarico!$C$3:$C$997))+$D$4:$D$987</f>
        <v>0</v>
      </c>
      <c r="D450" s="59"/>
      <c r="E450" s="58"/>
      <c r="F450" s="40">
        <f t="shared" si="4"/>
        <v>0</v>
      </c>
    </row>
    <row r="451" ht="15.75" customHeight="1">
      <c r="B451" s="65"/>
      <c r="C451" s="37">
        <f>SUMIF(Carico!$B$3:$B$975,B451,Carico!$C$3:$C$975)-(SUMIF(Scarico!$B$3:$B$997,B451,Scarico!$C$3:$C$997))+$D$4:$D$987</f>
        <v>0</v>
      </c>
      <c r="D451" s="59"/>
      <c r="E451" s="58"/>
      <c r="F451" s="40">
        <f t="shared" si="4"/>
        <v>0</v>
      </c>
    </row>
    <row r="452" ht="15.75" customHeight="1">
      <c r="B452" s="65"/>
      <c r="C452" s="37">
        <f>SUMIF(Carico!$B$3:$B$975,B452,Carico!$C$3:$C$975)-(SUMIF(Scarico!$B$3:$B$997,B452,Scarico!$C$3:$C$997))+$D$4:$D$987</f>
        <v>0</v>
      </c>
      <c r="D452" s="59"/>
      <c r="E452" s="58"/>
      <c r="F452" s="40">
        <f t="shared" si="4"/>
        <v>0</v>
      </c>
    </row>
    <row r="453" ht="15.75" customHeight="1">
      <c r="B453" s="65"/>
      <c r="C453" s="37">
        <f>SUMIF(Carico!$B$3:$B$975,B453,Carico!$C$3:$C$975)-(SUMIF(Scarico!$B$3:$B$997,B453,Scarico!$C$3:$C$997))+$D$4:$D$987</f>
        <v>0</v>
      </c>
      <c r="D453" s="59"/>
      <c r="E453" s="58"/>
      <c r="F453" s="40">
        <f t="shared" si="4"/>
        <v>0</v>
      </c>
    </row>
    <row r="454" ht="15.75" customHeight="1">
      <c r="B454" s="65"/>
      <c r="C454" s="37">
        <f>SUMIF(Carico!$B$3:$B$975,B454,Carico!$C$3:$C$975)-(SUMIF(Scarico!$B$3:$B$997,B454,Scarico!$C$3:$C$997))+$D$4:$D$987</f>
        <v>0</v>
      </c>
      <c r="D454" s="59"/>
      <c r="E454" s="58"/>
      <c r="F454" s="40">
        <f t="shared" si="4"/>
        <v>0</v>
      </c>
    </row>
    <row r="455" ht="15.75" customHeight="1">
      <c r="B455" s="65"/>
      <c r="C455" s="37">
        <f>SUMIF(Carico!$B$3:$B$975,B455,Carico!$C$3:$C$975)-(SUMIF(Scarico!$B$3:$B$997,B455,Scarico!$C$3:$C$997))+$D$4:$D$987</f>
        <v>0</v>
      </c>
      <c r="D455" s="59"/>
      <c r="E455" s="58"/>
      <c r="F455" s="40">
        <f t="shared" si="4"/>
        <v>0</v>
      </c>
    </row>
    <row r="456" ht="15.75" customHeight="1">
      <c r="B456" s="65"/>
      <c r="C456" s="37">
        <f>SUMIF(Carico!$B$3:$B$975,B456,Carico!$C$3:$C$975)-(SUMIF(Scarico!$B$3:$B$997,B456,Scarico!$C$3:$C$997))+$D$4:$D$987</f>
        <v>0</v>
      </c>
      <c r="D456" s="59"/>
      <c r="E456" s="58"/>
      <c r="F456" s="40">
        <f t="shared" si="4"/>
        <v>0</v>
      </c>
    </row>
    <row r="457" ht="15.75" customHeight="1">
      <c r="B457" s="65"/>
      <c r="C457" s="37">
        <f>SUMIF(Carico!$B$3:$B$975,B457,Carico!$C$3:$C$975)-(SUMIF(Scarico!$B$3:$B$997,B457,Scarico!$C$3:$C$997))+$D$4:$D$987</f>
        <v>0</v>
      </c>
      <c r="D457" s="59"/>
      <c r="E457" s="58"/>
      <c r="F457" s="40">
        <f t="shared" si="4"/>
        <v>0</v>
      </c>
    </row>
    <row r="458" ht="15.75" customHeight="1">
      <c r="B458" s="65"/>
      <c r="C458" s="37">
        <f>SUMIF(Carico!$B$3:$B$975,B458,Carico!$C$3:$C$975)-(SUMIF(Scarico!$B$3:$B$997,B458,Scarico!$C$3:$C$997))+$D$4:$D$987</f>
        <v>0</v>
      </c>
      <c r="D458" s="59"/>
      <c r="E458" s="58"/>
      <c r="F458" s="40">
        <f t="shared" si="4"/>
        <v>0</v>
      </c>
    </row>
    <row r="459" ht="15.75" customHeight="1">
      <c r="B459" s="65"/>
      <c r="C459" s="37">
        <f>SUMIF(Carico!$B$3:$B$975,B459,Carico!$C$3:$C$975)-(SUMIF(Scarico!$B$3:$B$997,B459,Scarico!$C$3:$C$997))+$D$4:$D$987</f>
        <v>0</v>
      </c>
      <c r="D459" s="59"/>
      <c r="E459" s="58"/>
      <c r="F459" s="40">
        <f t="shared" si="4"/>
        <v>0</v>
      </c>
    </row>
    <row r="460" ht="15.75" customHeight="1">
      <c r="B460" s="65"/>
      <c r="C460" s="37">
        <f>SUMIF(Carico!$B$3:$B$975,B460,Carico!$C$3:$C$975)-(SUMIF(Scarico!$B$3:$B$997,B460,Scarico!$C$3:$C$997))+$D$4:$D$987</f>
        <v>0</v>
      </c>
      <c r="D460" s="59"/>
      <c r="E460" s="58"/>
      <c r="F460" s="40">
        <f t="shared" si="4"/>
        <v>0</v>
      </c>
    </row>
    <row r="461" ht="15.75" customHeight="1">
      <c r="B461" s="65"/>
      <c r="C461" s="37">
        <f>SUMIF(Carico!$B$3:$B$975,B461,Carico!$C$3:$C$975)-(SUMIF(Scarico!$B$3:$B$997,B461,Scarico!$C$3:$C$997))+$D$4:$D$987</f>
        <v>0</v>
      </c>
      <c r="D461" s="59"/>
      <c r="E461" s="58"/>
      <c r="F461" s="40">
        <f t="shared" si="4"/>
        <v>0</v>
      </c>
    </row>
    <row r="462" ht="15.75" customHeight="1">
      <c r="B462" s="65"/>
      <c r="C462" s="37">
        <f>SUMIF(Carico!$B$3:$B$975,B462,Carico!$C$3:$C$975)-(SUMIF(Scarico!$B$3:$B$997,B462,Scarico!$C$3:$C$997))+$D$4:$D$987</f>
        <v>0</v>
      </c>
      <c r="D462" s="59"/>
      <c r="E462" s="58"/>
      <c r="F462" s="40">
        <f t="shared" si="4"/>
        <v>0</v>
      </c>
    </row>
    <row r="463" ht="15.75" customHeight="1">
      <c r="B463" s="65"/>
      <c r="C463" s="37">
        <f>SUMIF(Carico!$B$3:$B$975,B463,Carico!$C$3:$C$975)-(SUMIF(Scarico!$B$3:$B$997,B463,Scarico!$C$3:$C$997))+$D$4:$D$987</f>
        <v>0</v>
      </c>
      <c r="D463" s="59"/>
      <c r="E463" s="58"/>
      <c r="F463" s="40">
        <f t="shared" si="4"/>
        <v>0</v>
      </c>
    </row>
    <row r="464" ht="15.75" customHeight="1">
      <c r="B464" s="65"/>
      <c r="C464" s="37">
        <f>SUMIF(Carico!$B$3:$B$975,B464,Carico!$C$3:$C$975)-(SUMIF(Scarico!$B$3:$B$997,B464,Scarico!$C$3:$C$997))+$D$4:$D$987</f>
        <v>0</v>
      </c>
      <c r="D464" s="59"/>
      <c r="E464" s="58"/>
      <c r="F464" s="40">
        <f t="shared" si="4"/>
        <v>0</v>
      </c>
    </row>
    <row r="465" ht="15.75" customHeight="1">
      <c r="B465" s="65"/>
      <c r="C465" s="37">
        <f>SUMIF(Carico!$B$3:$B$975,B465,Carico!$C$3:$C$975)-(SUMIF(Scarico!$B$3:$B$997,B465,Scarico!$C$3:$C$997))+$D$4:$D$987</f>
        <v>0</v>
      </c>
      <c r="D465" s="59"/>
      <c r="E465" s="58"/>
      <c r="F465" s="40">
        <f t="shared" si="4"/>
        <v>0</v>
      </c>
    </row>
    <row r="466" ht="15.75" customHeight="1">
      <c r="B466" s="65"/>
      <c r="C466" s="37">
        <f>SUMIF(Carico!$B$3:$B$975,B466,Carico!$C$3:$C$975)-(SUMIF(Scarico!$B$3:$B$997,B466,Scarico!$C$3:$C$997))+$D$4:$D$987</f>
        <v>0</v>
      </c>
      <c r="D466" s="59"/>
      <c r="E466" s="58"/>
      <c r="F466" s="40">
        <f t="shared" si="4"/>
        <v>0</v>
      </c>
    </row>
    <row r="467" ht="15.75" customHeight="1">
      <c r="B467" s="65"/>
      <c r="C467" s="37">
        <f>SUMIF(Carico!$B$3:$B$975,B467,Carico!$C$3:$C$975)-(SUMIF(Scarico!$B$3:$B$997,B467,Scarico!$C$3:$C$997))+$D$4:$D$987</f>
        <v>0</v>
      </c>
      <c r="D467" s="59"/>
      <c r="E467" s="58"/>
      <c r="F467" s="40">
        <f t="shared" si="4"/>
        <v>0</v>
      </c>
    </row>
    <row r="468" ht="15.75" customHeight="1">
      <c r="B468" s="65"/>
      <c r="C468" s="37">
        <f>SUMIF(Carico!$B$3:$B$975,B468,Carico!$C$3:$C$975)-(SUMIF(Scarico!$B$3:$B$997,B468,Scarico!$C$3:$C$997))+$D$4:$D$987</f>
        <v>0</v>
      </c>
      <c r="D468" s="59"/>
      <c r="E468" s="58"/>
      <c r="F468" s="40">
        <f t="shared" si="4"/>
        <v>0</v>
      </c>
    </row>
    <row r="469" ht="15.75" customHeight="1">
      <c r="B469" s="65"/>
      <c r="C469" s="37">
        <f>SUMIF(Carico!$B$3:$B$975,B469,Carico!$C$3:$C$975)-(SUMIF(Scarico!$B$3:$B$997,B469,Scarico!$C$3:$C$997))+$D$4:$D$987</f>
        <v>0</v>
      </c>
      <c r="D469" s="59"/>
      <c r="E469" s="58"/>
      <c r="F469" s="40">
        <f t="shared" si="4"/>
        <v>0</v>
      </c>
    </row>
    <row r="470" ht="15.75" customHeight="1">
      <c r="B470" s="65"/>
      <c r="C470" s="37">
        <f>SUMIF(Carico!$B$3:$B$975,B470,Carico!$C$3:$C$975)-(SUMIF(Scarico!$B$3:$B$997,B470,Scarico!$C$3:$C$997))+$D$4:$D$987</f>
        <v>0</v>
      </c>
      <c r="D470" s="59"/>
      <c r="E470" s="58"/>
      <c r="F470" s="40">
        <f t="shared" si="4"/>
        <v>0</v>
      </c>
    </row>
    <row r="471" ht="15.75" customHeight="1">
      <c r="B471" s="65"/>
      <c r="C471" s="37">
        <f>SUMIF(Carico!$B$3:$B$975,B471,Carico!$C$3:$C$975)-(SUMIF(Scarico!$B$3:$B$997,B471,Scarico!$C$3:$C$997))+$D$4:$D$987</f>
        <v>0</v>
      </c>
      <c r="D471" s="59"/>
      <c r="E471" s="58"/>
      <c r="F471" s="40">
        <f t="shared" si="4"/>
        <v>0</v>
      </c>
    </row>
    <row r="472" ht="15.75" customHeight="1">
      <c r="B472" s="65"/>
      <c r="C472" s="37">
        <f>SUMIF(Carico!$B$3:$B$975,B472,Carico!$C$3:$C$975)-(SUMIF(Scarico!$B$3:$B$997,B472,Scarico!$C$3:$C$997))+$D$4:$D$987</f>
        <v>0</v>
      </c>
      <c r="D472" s="59"/>
      <c r="E472" s="58"/>
      <c r="F472" s="40">
        <f t="shared" si="4"/>
        <v>0</v>
      </c>
    </row>
    <row r="473" ht="15.75" customHeight="1">
      <c r="B473" s="65"/>
      <c r="C473" s="37">
        <f>SUMIF(Carico!$B$3:$B$975,B473,Carico!$C$3:$C$975)-(SUMIF(Scarico!$B$3:$B$997,B473,Scarico!$C$3:$C$997))+$D$4:$D$987</f>
        <v>0</v>
      </c>
      <c r="D473" s="59"/>
      <c r="E473" s="58"/>
      <c r="F473" s="40">
        <f t="shared" si="4"/>
        <v>0</v>
      </c>
    </row>
    <row r="474" ht="15.75" customHeight="1">
      <c r="B474" s="65"/>
      <c r="C474" s="37">
        <f>SUMIF(Carico!$B$3:$B$975,B474,Carico!$C$3:$C$975)-(SUMIF(Scarico!$B$3:$B$997,B474,Scarico!$C$3:$C$997))+$D$4:$D$987</f>
        <v>0</v>
      </c>
      <c r="D474" s="59"/>
      <c r="E474" s="58"/>
      <c r="F474" s="40">
        <f t="shared" si="4"/>
        <v>0</v>
      </c>
    </row>
    <row r="475" ht="15.75" customHeight="1">
      <c r="B475" s="65"/>
      <c r="C475" s="37">
        <f>SUMIF(Carico!$B$3:$B$975,B475,Carico!$C$3:$C$975)-(SUMIF(Scarico!$B$3:$B$997,B475,Scarico!$C$3:$C$997))+$D$4:$D$987</f>
        <v>0</v>
      </c>
      <c r="D475" s="59"/>
      <c r="E475" s="58"/>
      <c r="F475" s="40">
        <f t="shared" si="4"/>
        <v>0</v>
      </c>
    </row>
    <row r="476" ht="15.75" customHeight="1">
      <c r="B476" s="65"/>
      <c r="C476" s="37">
        <f>SUMIF(Carico!$B$3:$B$975,B476,Carico!$C$3:$C$975)-(SUMIF(Scarico!$B$3:$B$997,B476,Scarico!$C$3:$C$997))+$D$4:$D$987</f>
        <v>0</v>
      </c>
      <c r="D476" s="59"/>
      <c r="E476" s="58"/>
      <c r="F476" s="40">
        <f t="shared" si="4"/>
        <v>0</v>
      </c>
    </row>
    <row r="477" ht="15.75" customHeight="1">
      <c r="B477" s="65"/>
      <c r="C477" s="37">
        <f>SUMIF(Carico!$B$3:$B$975,B477,Carico!$C$3:$C$975)-(SUMIF(Scarico!$B$3:$B$997,B477,Scarico!$C$3:$C$997))+$D$4:$D$987</f>
        <v>0</v>
      </c>
      <c r="D477" s="59"/>
      <c r="E477" s="58"/>
      <c r="F477" s="40">
        <f t="shared" si="4"/>
        <v>0</v>
      </c>
    </row>
    <row r="478" ht="15.75" customHeight="1">
      <c r="B478" s="65"/>
      <c r="C478" s="37">
        <f>SUMIF(Carico!$B$3:$B$975,B478,Carico!$C$3:$C$975)-(SUMIF(Scarico!$B$3:$B$997,B478,Scarico!$C$3:$C$997))+$D$4:$D$987</f>
        <v>0</v>
      </c>
      <c r="D478" s="59"/>
      <c r="E478" s="58"/>
      <c r="F478" s="40">
        <f t="shared" si="4"/>
        <v>0</v>
      </c>
    </row>
    <row r="479" ht="15.75" customHeight="1">
      <c r="B479" s="65"/>
      <c r="C479" s="37">
        <f>SUMIF(Carico!$B$3:$B$975,B479,Carico!$C$3:$C$975)-(SUMIF(Scarico!$B$3:$B$997,B479,Scarico!$C$3:$C$997))+$D$4:$D$987</f>
        <v>0</v>
      </c>
      <c r="D479" s="59"/>
      <c r="E479" s="58"/>
      <c r="F479" s="40">
        <f t="shared" si="4"/>
        <v>0</v>
      </c>
    </row>
    <row r="480" ht="15.75" customHeight="1">
      <c r="B480" s="65"/>
      <c r="C480" s="37">
        <f>SUMIF(Carico!$B$3:$B$975,B480,Carico!$C$3:$C$975)-(SUMIF(Scarico!$B$3:$B$997,B480,Scarico!$C$3:$C$997))+$D$4:$D$987</f>
        <v>0</v>
      </c>
      <c r="D480" s="59"/>
      <c r="E480" s="58"/>
      <c r="F480" s="40">
        <f t="shared" si="4"/>
        <v>0</v>
      </c>
    </row>
    <row r="481" ht="15.75" customHeight="1">
      <c r="B481" s="65"/>
      <c r="C481" s="37">
        <f>SUMIF(Carico!$B$3:$B$975,B481,Carico!$C$3:$C$975)-(SUMIF(Scarico!$B$3:$B$997,B481,Scarico!$C$3:$C$997))+$D$4:$D$987</f>
        <v>0</v>
      </c>
      <c r="D481" s="59"/>
      <c r="E481" s="58"/>
      <c r="F481" s="40">
        <f t="shared" si="4"/>
        <v>0</v>
      </c>
    </row>
    <row r="482" ht="15.75" customHeight="1">
      <c r="B482" s="65"/>
      <c r="C482" s="37">
        <f>SUMIF(Carico!$B$3:$B$975,B482,Carico!$C$3:$C$975)-(SUMIF(Scarico!$B$3:$B$997,B482,Scarico!$C$3:$C$997))+$D$4:$D$987</f>
        <v>0</v>
      </c>
      <c r="D482" s="59"/>
      <c r="E482" s="58"/>
      <c r="F482" s="40">
        <f t="shared" si="4"/>
        <v>0</v>
      </c>
    </row>
    <row r="483" ht="15.75" customHeight="1">
      <c r="B483" s="65"/>
      <c r="C483" s="37">
        <f>SUMIF(Carico!$B$3:$B$975,B483,Carico!$C$3:$C$975)-(SUMIF(Scarico!$B$3:$B$997,B483,Scarico!$C$3:$C$997))+$D$4:$D$987</f>
        <v>0</v>
      </c>
      <c r="D483" s="59"/>
      <c r="E483" s="58"/>
      <c r="F483" s="40">
        <f t="shared" si="4"/>
        <v>0</v>
      </c>
    </row>
    <row r="484" ht="15.75" customHeight="1">
      <c r="B484" s="65"/>
      <c r="C484" s="37">
        <f>SUMIF(Carico!$B$3:$B$975,B484,Carico!$C$3:$C$975)-(SUMIF(Scarico!$B$3:$B$997,B484,Scarico!$C$3:$C$997))+$D$4:$D$987</f>
        <v>0</v>
      </c>
      <c r="D484" s="59"/>
      <c r="E484" s="58"/>
      <c r="F484" s="40">
        <f t="shared" si="4"/>
        <v>0</v>
      </c>
    </row>
    <row r="485" ht="15.75" customHeight="1">
      <c r="B485" s="65"/>
      <c r="C485" s="37">
        <f>SUMIF(Carico!$B$3:$B$975,B485,Carico!$C$3:$C$975)-(SUMIF(Scarico!$B$3:$B$997,B485,Scarico!$C$3:$C$997))+$D$4:$D$987</f>
        <v>0</v>
      </c>
      <c r="D485" s="59"/>
      <c r="E485" s="58"/>
      <c r="F485" s="40">
        <f t="shared" si="4"/>
        <v>0</v>
      </c>
    </row>
    <row r="486" ht="15.75" customHeight="1">
      <c r="B486" s="65"/>
      <c r="C486" s="37">
        <f>SUMIF(Carico!$B$3:$B$975,B486,Carico!$C$3:$C$975)-(SUMIF(Scarico!$B$3:$B$997,B486,Scarico!$C$3:$C$997))+$D$4:$D$987</f>
        <v>0</v>
      </c>
      <c r="D486" s="59"/>
      <c r="E486" s="58"/>
      <c r="F486" s="40">
        <f t="shared" si="4"/>
        <v>0</v>
      </c>
    </row>
    <row r="487" ht="15.75" customHeight="1">
      <c r="B487" s="65"/>
      <c r="C487" s="37">
        <f>SUMIF(Carico!$B$3:$B$975,B487,Carico!$C$3:$C$975)-(SUMIF(Scarico!$B$3:$B$997,B487,Scarico!$C$3:$C$997))+$D$4:$D$987</f>
        <v>0</v>
      </c>
      <c r="D487" s="59"/>
      <c r="E487" s="58"/>
      <c r="F487" s="40">
        <f t="shared" si="4"/>
        <v>0</v>
      </c>
    </row>
    <row r="488" ht="15.75" customHeight="1">
      <c r="B488" s="65"/>
      <c r="C488" s="37">
        <f>SUMIF(Carico!$B$3:$B$975,B488,Carico!$C$3:$C$975)-(SUMIF(Scarico!$B$3:$B$997,B488,Scarico!$C$3:$C$997))+$D$4:$D$987</f>
        <v>0</v>
      </c>
      <c r="D488" s="59"/>
      <c r="E488" s="58"/>
      <c r="F488" s="40">
        <f t="shared" si="4"/>
        <v>0</v>
      </c>
    </row>
    <row r="489" ht="15.75" customHeight="1">
      <c r="B489" s="65"/>
      <c r="C489" s="37">
        <f>SUMIF(Carico!$B$3:$B$975,B489,Carico!$C$3:$C$975)-(SUMIF(Scarico!$B$3:$B$997,B489,Scarico!$C$3:$C$997))+$D$4:$D$987</f>
        <v>0</v>
      </c>
      <c r="D489" s="59"/>
      <c r="E489" s="58"/>
      <c r="F489" s="40">
        <f t="shared" si="4"/>
        <v>0</v>
      </c>
    </row>
    <row r="490" ht="15.75" customHeight="1">
      <c r="B490" s="65"/>
      <c r="C490" s="37">
        <f>SUMIF(Carico!$B$3:$B$975,B490,Carico!$C$3:$C$975)-(SUMIF(Scarico!$B$3:$B$997,B490,Scarico!$C$3:$C$997))+$D$4:$D$987</f>
        <v>0</v>
      </c>
      <c r="D490" s="59"/>
      <c r="E490" s="58"/>
      <c r="F490" s="40">
        <f t="shared" si="4"/>
        <v>0</v>
      </c>
    </row>
    <row r="491" ht="15.75" customHeight="1">
      <c r="B491" s="65"/>
      <c r="C491" s="37">
        <f>SUMIF(Carico!$B$3:$B$975,B491,Carico!$C$3:$C$975)-(SUMIF(Scarico!$B$3:$B$997,B491,Scarico!$C$3:$C$997))+$D$4:$D$987</f>
        <v>0</v>
      </c>
      <c r="D491" s="59"/>
      <c r="E491" s="58"/>
      <c r="F491" s="40">
        <f t="shared" si="4"/>
        <v>0</v>
      </c>
    </row>
    <row r="492" ht="15.75" customHeight="1">
      <c r="B492" s="65"/>
      <c r="C492" s="37">
        <f>SUMIF(Carico!$B$3:$B$975,B492,Carico!$C$3:$C$975)-(SUMIF(Scarico!$B$3:$B$997,B492,Scarico!$C$3:$C$997))+$D$4:$D$987</f>
        <v>0</v>
      </c>
      <c r="D492" s="59"/>
      <c r="E492" s="58"/>
      <c r="F492" s="40">
        <f t="shared" si="4"/>
        <v>0</v>
      </c>
    </row>
    <row r="493" ht="15.75" customHeight="1">
      <c r="B493" s="65"/>
      <c r="C493" s="37">
        <f>SUMIF(Carico!$B$3:$B$975,B493,Carico!$C$3:$C$975)-(SUMIF(Scarico!$B$3:$B$997,B493,Scarico!$C$3:$C$997))+$D$4:$D$987</f>
        <v>0</v>
      </c>
      <c r="D493" s="59"/>
      <c r="E493" s="58"/>
      <c r="F493" s="40">
        <f t="shared" si="4"/>
        <v>0</v>
      </c>
    </row>
    <row r="494" ht="15.75" customHeight="1">
      <c r="B494" s="65"/>
      <c r="C494" s="37">
        <f>SUMIF(Carico!$B$3:$B$975,B494,Carico!$C$3:$C$975)-(SUMIF(Scarico!$B$3:$B$997,B494,Scarico!$C$3:$C$997))+$D$4:$D$987</f>
        <v>0</v>
      </c>
      <c r="D494" s="59"/>
      <c r="E494" s="58"/>
      <c r="F494" s="40">
        <f t="shared" si="4"/>
        <v>0</v>
      </c>
    </row>
    <row r="495" ht="15.75" customHeight="1">
      <c r="B495" s="65"/>
      <c r="C495" s="37">
        <f>SUMIF(Carico!$B$3:$B$975,B495,Carico!$C$3:$C$975)-(SUMIF(Scarico!$B$3:$B$997,B495,Scarico!$C$3:$C$997))+$D$4:$D$987</f>
        <v>0</v>
      </c>
      <c r="D495" s="59"/>
      <c r="E495" s="58"/>
      <c r="F495" s="40">
        <f t="shared" si="4"/>
        <v>0</v>
      </c>
    </row>
    <row r="496" ht="15.75" customHeight="1">
      <c r="B496" s="65"/>
      <c r="C496" s="37">
        <f>SUMIF(Carico!$B$3:$B$975,B496,Carico!$C$3:$C$975)-(SUMIF(Scarico!$B$3:$B$997,B496,Scarico!$C$3:$C$997))+$D$4:$D$987</f>
        <v>0</v>
      </c>
      <c r="D496" s="59"/>
      <c r="E496" s="58"/>
      <c r="F496" s="69"/>
    </row>
    <row r="497" ht="15.75" customHeight="1">
      <c r="B497" s="65"/>
      <c r="C497" s="37">
        <f>SUMIF(Carico!$B$3:$B$975,B497,Carico!$C$3:$C$975)-(SUMIF(Scarico!$B$3:$B$997,B497,Scarico!$C$3:$C$997))+$D$4:$D$987</f>
        <v>0</v>
      </c>
      <c r="D497" s="59"/>
      <c r="E497" s="58"/>
      <c r="F497" s="69"/>
    </row>
    <row r="498" ht="15.75" customHeight="1">
      <c r="B498" s="65"/>
      <c r="C498" s="37">
        <f>SUMIF(Carico!$B$3:$B$975,B498,Carico!$C$3:$C$975)-(SUMIF(Scarico!$B$3:$B$997,B498,Scarico!$C$3:$C$997))+$D$4:$D$987</f>
        <v>0</v>
      </c>
      <c r="D498" s="59"/>
      <c r="E498" s="58"/>
      <c r="F498" s="69"/>
    </row>
    <row r="499" ht="15.75" customHeight="1">
      <c r="B499" s="65"/>
      <c r="C499" s="37">
        <f>SUMIF(Carico!$B$3:$B$975,B499,Carico!$C$3:$C$975)-(SUMIF(Scarico!$B$3:$B$997,B499,Scarico!$C$3:$C$997))+$D$4:$D$987</f>
        <v>0</v>
      </c>
      <c r="D499" s="59"/>
      <c r="E499" s="58"/>
      <c r="F499" s="69"/>
    </row>
    <row r="500" ht="15.75" customHeight="1">
      <c r="B500" s="65"/>
      <c r="C500" s="37">
        <f>SUMIF(Carico!$B$3:$B$975,B500,Carico!$C$3:$C$975)-(SUMIF(Scarico!$B$3:$B$997,B500,Scarico!$C$3:$C$997))+$D$4:$D$987</f>
        <v>0</v>
      </c>
      <c r="D500" s="59"/>
      <c r="E500" s="58"/>
      <c r="F500" s="69"/>
    </row>
    <row r="501" ht="15.75" customHeight="1">
      <c r="B501" s="65"/>
      <c r="C501" s="37">
        <f>SUMIF(Carico!$B$3:$B$975,B501,Carico!$C$3:$C$975)-(SUMIF(Scarico!$B$3:$B$997,B501,Scarico!$C$3:$C$997))+$D$4:$D$987</f>
        <v>0</v>
      </c>
      <c r="D501" s="59"/>
      <c r="E501" s="58"/>
      <c r="F501" s="69"/>
    </row>
    <row r="502" ht="15.75" customHeight="1">
      <c r="B502" s="65"/>
      <c r="C502" s="37">
        <f>SUMIF(Carico!$B$3:$B$975,B502,Carico!$C$3:$C$975)-(SUMIF(Scarico!$B$3:$B$997,B502,Scarico!$C$3:$C$997))+$D$4:$D$987</f>
        <v>0</v>
      </c>
      <c r="D502" s="59"/>
      <c r="E502" s="58"/>
      <c r="F502" s="69"/>
    </row>
    <row r="503" ht="15.75" customHeight="1">
      <c r="B503" s="65"/>
      <c r="C503" s="37">
        <f>SUMIF(Carico!$B$3:$B$975,B503,Carico!$C$3:$C$975)-(SUMIF(Scarico!$B$3:$B$997,B503,Scarico!$C$3:$C$997))+$D$4:$D$987</f>
        <v>0</v>
      </c>
      <c r="D503" s="59"/>
      <c r="E503" s="58"/>
      <c r="F503" s="69"/>
    </row>
    <row r="504" ht="15.75" customHeight="1">
      <c r="B504" s="65"/>
      <c r="C504" s="37">
        <f>SUMIF(Carico!$B$3:$B$975,B504,Carico!$C$3:$C$975)-(SUMIF(Scarico!$B$3:$B$997,B504,Scarico!$C$3:$C$997))+$D$4:$D$987</f>
        <v>0</v>
      </c>
      <c r="D504" s="59"/>
      <c r="E504" s="58"/>
      <c r="F504" s="69"/>
    </row>
    <row r="505" ht="15.75" customHeight="1">
      <c r="B505" s="65"/>
      <c r="C505" s="37">
        <f>SUMIF(Carico!$B$3:$B$975,B505,Carico!$C$3:$C$975)-(SUMIF(Scarico!$B$3:$B$997,B505,Scarico!$C$3:$C$997))+$D$4:$D$987</f>
        <v>0</v>
      </c>
      <c r="D505" s="59"/>
      <c r="E505" s="58"/>
      <c r="F505" s="69"/>
    </row>
    <row r="506" ht="15.75" customHeight="1">
      <c r="B506" s="65"/>
      <c r="C506" s="37">
        <f>SUMIF(Carico!$B$3:$B$975,B506,Carico!$C$3:$C$975)-(SUMIF(Scarico!$B$3:$B$997,B506,Scarico!$C$3:$C$997))+$D$4:$D$987</f>
        <v>0</v>
      </c>
      <c r="D506" s="59"/>
      <c r="E506" s="58"/>
      <c r="F506" s="69"/>
    </row>
    <row r="507" ht="15.75" customHeight="1">
      <c r="B507" s="65"/>
      <c r="C507" s="37">
        <f>SUMIF(Carico!$B$3:$B$975,B507,Carico!$C$3:$C$975)-(SUMIF(Scarico!$B$3:$B$997,B507,Scarico!$C$3:$C$997))+$D$4:$D$987</f>
        <v>0</v>
      </c>
      <c r="D507" s="59"/>
      <c r="E507" s="58"/>
      <c r="F507" s="69"/>
    </row>
    <row r="508" ht="15.75" customHeight="1">
      <c r="B508" s="65"/>
      <c r="C508" s="37">
        <f>SUMIF(Carico!$B$3:$B$975,B508,Carico!$C$3:$C$975)-(SUMIF(Scarico!$B$3:$B$997,B508,Scarico!$C$3:$C$997))+$D$4:$D$987</f>
        <v>0</v>
      </c>
      <c r="D508" s="59"/>
      <c r="E508" s="58"/>
      <c r="F508" s="69"/>
    </row>
    <row r="509" ht="15.75" customHeight="1">
      <c r="B509" s="65"/>
      <c r="C509" s="37">
        <f>SUMIF(Carico!$B$3:$B$975,B509,Carico!$C$3:$C$975)-(SUMIF(Scarico!$B$3:$B$997,B509,Scarico!$C$3:$C$997))+$D$4:$D$987</f>
        <v>0</v>
      </c>
      <c r="D509" s="59"/>
      <c r="E509" s="58"/>
      <c r="F509" s="69"/>
    </row>
    <row r="510" ht="15.75" customHeight="1">
      <c r="B510" s="65"/>
      <c r="C510" s="37">
        <f>SUMIF(Carico!$B$3:$B$975,B510,Carico!$C$3:$C$975)-(SUMIF(Scarico!$B$3:$B$997,B510,Scarico!$C$3:$C$997))+$D$4:$D$987</f>
        <v>0</v>
      </c>
      <c r="D510" s="59"/>
      <c r="E510" s="58"/>
      <c r="F510" s="69"/>
    </row>
    <row r="511" ht="15.75" customHeight="1">
      <c r="B511" s="65"/>
      <c r="C511" s="37">
        <f>SUMIF(Carico!$B$3:$B$975,B511,Carico!$C$3:$C$975)-(SUMIF(Scarico!$B$3:$B$997,B511,Scarico!$C$3:$C$997))+$D$4:$D$987</f>
        <v>0</v>
      </c>
      <c r="D511" s="59"/>
      <c r="E511" s="58"/>
      <c r="F511" s="69"/>
    </row>
    <row r="512" ht="15.75" customHeight="1">
      <c r="B512" s="65"/>
      <c r="C512" s="37">
        <f>SUMIF(Carico!$B$3:$B$975,B512,Carico!$C$3:$C$975)-(SUMIF(Scarico!$B$3:$B$997,B512,Scarico!$C$3:$C$997))+$D$4:$D$987</f>
        <v>0</v>
      </c>
      <c r="D512" s="59"/>
      <c r="E512" s="58"/>
      <c r="F512" s="69"/>
    </row>
    <row r="513" ht="15.75" customHeight="1">
      <c r="B513" s="65"/>
      <c r="C513" s="37">
        <f>SUMIF(Carico!$B$3:$B$975,B513,Carico!$C$3:$C$975)-(SUMIF(Scarico!$B$3:$B$997,B513,Scarico!$C$3:$C$997))+$D$4:$D$987</f>
        <v>0</v>
      </c>
      <c r="D513" s="59"/>
      <c r="E513" s="58"/>
      <c r="F513" s="69"/>
    </row>
    <row r="514" ht="15.75" customHeight="1">
      <c r="B514" s="65"/>
      <c r="C514" s="37">
        <f>SUMIF(Carico!$B$3:$B$975,B514,Carico!$C$3:$C$975)-(SUMIF(Scarico!$B$3:$B$997,B514,Scarico!$C$3:$C$997))+$D$4:$D$987</f>
        <v>0</v>
      </c>
      <c r="D514" s="59"/>
      <c r="E514" s="58"/>
      <c r="F514" s="69"/>
    </row>
    <row r="515" ht="15.75" customHeight="1">
      <c r="B515" s="65"/>
      <c r="C515" s="37">
        <f>SUMIF(Carico!$B$3:$B$975,B515,Carico!$C$3:$C$975)-(SUMIF(Scarico!$B$3:$B$997,B515,Scarico!$C$3:$C$997))+$D$4:$D$987</f>
        <v>0</v>
      </c>
      <c r="D515" s="59"/>
      <c r="E515" s="58"/>
      <c r="F515" s="69"/>
    </row>
    <row r="516" ht="15.75" customHeight="1">
      <c r="B516" s="65"/>
      <c r="C516" s="37">
        <f>SUMIF(Carico!$B$3:$B$975,B516,Carico!$C$3:$C$975)-(SUMIF(Scarico!$B$3:$B$997,B516,Scarico!$C$3:$C$997))+$D$4:$D$987</f>
        <v>0</v>
      </c>
      <c r="D516" s="59"/>
      <c r="E516" s="58"/>
      <c r="F516" s="69"/>
    </row>
    <row r="517" ht="15.75" customHeight="1">
      <c r="B517" s="65"/>
      <c r="C517" s="37">
        <f>SUMIF(Carico!$B$3:$B$975,B517,Carico!$C$3:$C$975)-(SUMIF(Scarico!$B$3:$B$997,B517,Scarico!$C$3:$C$997))+$D$4:$D$987</f>
        <v>0</v>
      </c>
      <c r="D517" s="59"/>
      <c r="E517" s="58"/>
      <c r="F517" s="69"/>
    </row>
    <row r="518" ht="15.75" customHeight="1">
      <c r="B518" s="65"/>
      <c r="C518" s="37">
        <f>SUMIF(Carico!$B$3:$B$975,B518,Carico!$C$3:$C$975)-(SUMIF(Scarico!$B$3:$B$997,B518,Scarico!$C$3:$C$997))+$D$4:$D$987</f>
        <v>0</v>
      </c>
      <c r="D518" s="59"/>
      <c r="E518" s="58"/>
      <c r="F518" s="69"/>
    </row>
    <row r="519" ht="15.75" customHeight="1">
      <c r="B519" s="65"/>
      <c r="C519" s="37">
        <f>SUMIF(Carico!$B$3:$B$975,B519,Carico!$C$3:$C$975)-(SUMIF(Scarico!$B$3:$B$997,B519,Scarico!$C$3:$C$997))+$D$4:$D$987</f>
        <v>0</v>
      </c>
      <c r="D519" s="59"/>
      <c r="E519" s="58"/>
      <c r="F519" s="69"/>
    </row>
    <row r="520" ht="15.75" customHeight="1">
      <c r="B520" s="65"/>
      <c r="C520" s="37">
        <f>SUMIF(Carico!$B$3:$B$975,B520,Carico!$C$3:$C$975)-(SUMIF(Scarico!$B$3:$B$997,B520,Scarico!$C$3:$C$997))+$D$4:$D$987</f>
        <v>0</v>
      </c>
      <c r="D520" s="59"/>
      <c r="E520" s="58"/>
      <c r="F520" s="69"/>
    </row>
    <row r="521" ht="15.75" customHeight="1">
      <c r="B521" s="65"/>
      <c r="C521" s="37">
        <f>SUMIF(Carico!$B$3:$B$975,B521,Carico!$C$3:$C$975)-(SUMIF(Scarico!$B$3:$B$997,B521,Scarico!$C$3:$C$997))+$D$4:$D$987</f>
        <v>0</v>
      </c>
      <c r="D521" s="59"/>
      <c r="E521" s="58"/>
      <c r="F521" s="69"/>
    </row>
    <row r="522" ht="15.75" customHeight="1">
      <c r="B522" s="65"/>
      <c r="C522" s="37">
        <f>SUMIF(Carico!$B$3:$B$975,B522,Carico!$C$3:$C$975)-(SUMIF(Scarico!$B$3:$B$997,B522,Scarico!$C$3:$C$997))+$D$4:$D$987</f>
        <v>0</v>
      </c>
      <c r="D522" s="59"/>
      <c r="E522" s="58"/>
      <c r="F522" s="69"/>
    </row>
    <row r="523" ht="15.75" customHeight="1">
      <c r="B523" s="65"/>
      <c r="C523" s="37">
        <f>SUMIF(Carico!$B$3:$B$975,B523,Carico!$C$3:$C$975)-(SUMIF(Scarico!$B$3:$B$997,B523,Scarico!$C$3:$C$997))+$D$4:$D$987</f>
        <v>0</v>
      </c>
      <c r="D523" s="59"/>
      <c r="E523" s="58"/>
      <c r="F523" s="69"/>
    </row>
    <row r="524" ht="15.75" customHeight="1">
      <c r="B524" s="65"/>
      <c r="C524" s="37">
        <f>SUMIF(Carico!$B$3:$B$975,B524,Carico!$C$3:$C$975)-(SUMIF(Scarico!$B$3:$B$997,B524,Scarico!$C$3:$C$997))+$D$4:$D$987</f>
        <v>0</v>
      </c>
      <c r="D524" s="59"/>
      <c r="E524" s="58"/>
      <c r="F524" s="69"/>
    </row>
    <row r="525" ht="15.75" customHeight="1">
      <c r="B525" s="65"/>
      <c r="C525" s="37">
        <f>SUMIF(Carico!$B$3:$B$975,B525,Carico!$C$3:$C$975)-(SUMIF(Scarico!$B$3:$B$997,B525,Scarico!$C$3:$C$997))+$D$4:$D$987</f>
        <v>0</v>
      </c>
      <c r="D525" s="59"/>
      <c r="E525" s="58"/>
      <c r="F525" s="69"/>
    </row>
    <row r="526" ht="15.75" customHeight="1">
      <c r="B526" s="65"/>
      <c r="C526" s="37">
        <f>SUMIF(Carico!$B$3:$B$975,B526,Carico!$C$3:$C$975)-(SUMIF(Scarico!$B$3:$B$997,B526,Scarico!$C$3:$C$997))+$D$4:$D$987</f>
        <v>0</v>
      </c>
      <c r="D526" s="59"/>
      <c r="E526" s="58"/>
      <c r="F526" s="69"/>
    </row>
    <row r="527" ht="15.75" customHeight="1">
      <c r="B527" s="65"/>
      <c r="C527" s="37">
        <f>SUMIF(Carico!$B$3:$B$975,B527,Carico!$C$3:$C$975)-(SUMIF(Scarico!$B$3:$B$997,B527,Scarico!$C$3:$C$997))+$D$4:$D$987</f>
        <v>0</v>
      </c>
      <c r="D527" s="59"/>
      <c r="E527" s="58"/>
      <c r="F527" s="69"/>
    </row>
    <row r="528" ht="15.75" customHeight="1">
      <c r="B528" s="65"/>
      <c r="C528" s="37">
        <f>SUMIF(Carico!$B$3:$B$975,B528,Carico!$C$3:$C$975)-(SUMIF(Scarico!$B$3:$B$997,B528,Scarico!$C$3:$C$997))+$D$4:$D$987</f>
        <v>0</v>
      </c>
      <c r="D528" s="59"/>
      <c r="E528" s="58"/>
      <c r="F528" s="69"/>
    </row>
    <row r="529" ht="15.75" customHeight="1">
      <c r="B529" s="65"/>
      <c r="C529" s="37">
        <f>SUMIF(Carico!$B$3:$B$975,B529,Carico!$C$3:$C$975)-(SUMIF(Scarico!$B$3:$B$997,B529,Scarico!$C$3:$C$997))+$D$4:$D$987</f>
        <v>0</v>
      </c>
      <c r="D529" s="59"/>
      <c r="E529" s="58"/>
      <c r="F529" s="69"/>
    </row>
    <row r="530" ht="15.75" customHeight="1">
      <c r="B530" s="65"/>
      <c r="C530" s="37">
        <f>SUMIF(Carico!$B$3:$B$975,B530,Carico!$C$3:$C$975)-(SUMIF(Scarico!$B$3:$B$997,B530,Scarico!$C$3:$C$997))+$D$4:$D$987</f>
        <v>0</v>
      </c>
      <c r="D530" s="59"/>
      <c r="E530" s="58"/>
      <c r="F530" s="69"/>
    </row>
    <row r="531" ht="15.75" customHeight="1">
      <c r="B531" s="65"/>
      <c r="C531" s="37">
        <f>SUMIF(Carico!$B$3:$B$975,B531,Carico!$C$3:$C$975)-(SUMIF(Scarico!$B$3:$B$997,B531,Scarico!$C$3:$C$997))+$D$4:$D$987</f>
        <v>0</v>
      </c>
      <c r="D531" s="59"/>
      <c r="E531" s="58"/>
      <c r="F531" s="69"/>
    </row>
    <row r="532" ht="15.75" customHeight="1">
      <c r="B532" s="65"/>
      <c r="C532" s="37">
        <f>SUMIF(Carico!$B$3:$B$975,B532,Carico!$C$3:$C$975)-(SUMIF(Scarico!$B$3:$B$997,B532,Scarico!$C$3:$C$997))+$D$4:$D$987</f>
        <v>0</v>
      </c>
      <c r="D532" s="59"/>
      <c r="E532" s="58"/>
      <c r="F532" s="69"/>
    </row>
    <row r="533" ht="15.75" customHeight="1">
      <c r="B533" s="65"/>
      <c r="C533" s="37">
        <f>SUMIF(Carico!$B$3:$B$975,B533,Carico!$C$3:$C$975)-(SUMIF(Scarico!$B$3:$B$997,B533,Scarico!$C$3:$C$997))+$D$4:$D$987</f>
        <v>0</v>
      </c>
      <c r="D533" s="59"/>
      <c r="E533" s="58"/>
      <c r="F533" s="69"/>
    </row>
    <row r="534" ht="15.75" customHeight="1">
      <c r="B534" s="65"/>
      <c r="C534" s="37">
        <f>SUMIF(Carico!$B$3:$B$975,B534,Carico!$C$3:$C$975)-(SUMIF(Scarico!$B$3:$B$997,B534,Scarico!$C$3:$C$997))+$D$4:$D$987</f>
        <v>0</v>
      </c>
      <c r="D534" s="59"/>
      <c r="E534" s="58"/>
      <c r="F534" s="69"/>
    </row>
    <row r="535" ht="15.75" customHeight="1">
      <c r="B535" s="65"/>
      <c r="C535" s="37">
        <f>SUMIF(Carico!$B$3:$B$975,B535,Carico!$C$3:$C$975)-(SUMIF(Scarico!$B$3:$B$997,B535,Scarico!$C$3:$C$997))+$D$4:$D$987</f>
        <v>0</v>
      </c>
      <c r="D535" s="59"/>
      <c r="E535" s="58"/>
      <c r="F535" s="69"/>
    </row>
    <row r="536" ht="15.75" customHeight="1">
      <c r="B536" s="65"/>
      <c r="C536" s="37">
        <f>SUMIF(Carico!$B$3:$B$975,B536,Carico!$C$3:$C$975)-(SUMIF(Scarico!$B$3:$B$997,B536,Scarico!$C$3:$C$997))+$D$4:$D$987</f>
        <v>0</v>
      </c>
      <c r="D536" s="59"/>
      <c r="E536" s="58"/>
      <c r="F536" s="69"/>
    </row>
    <row r="537" ht="15.75" customHeight="1">
      <c r="B537" s="65"/>
      <c r="C537" s="37">
        <f>SUMIF(Carico!$B$3:$B$975,B537,Carico!$C$3:$C$975)-(SUMIF(Scarico!$B$3:$B$997,B537,Scarico!$C$3:$C$997))+$D$4:$D$987</f>
        <v>0</v>
      </c>
      <c r="D537" s="59"/>
      <c r="E537" s="58"/>
      <c r="F537" s="69"/>
    </row>
    <row r="538" ht="15.75" customHeight="1">
      <c r="B538" s="65"/>
      <c r="C538" s="37">
        <f>SUMIF(Carico!$B$3:$B$975,B538,Carico!$C$3:$C$975)-(SUMIF(Scarico!$B$3:$B$997,B538,Scarico!$C$3:$C$997))+$D$4:$D$987</f>
        <v>0</v>
      </c>
      <c r="D538" s="59"/>
      <c r="E538" s="58"/>
      <c r="F538" s="69"/>
    </row>
    <row r="539" ht="15.75" customHeight="1">
      <c r="B539" s="65"/>
      <c r="C539" s="37">
        <f>SUMIF(Carico!$B$3:$B$975,B539,Carico!$C$3:$C$975)-(SUMIF(Scarico!$B$3:$B$997,B539,Scarico!$C$3:$C$997))+$D$4:$D$987</f>
        <v>0</v>
      </c>
      <c r="D539" s="59"/>
      <c r="E539" s="58"/>
      <c r="F539" s="69"/>
    </row>
    <row r="540" ht="15.75" customHeight="1">
      <c r="B540" s="65"/>
      <c r="C540" s="37">
        <f>SUMIF(Carico!$B$3:$B$975,B540,Carico!$C$3:$C$975)-(SUMIF(Scarico!$B$3:$B$997,B540,Scarico!$C$3:$C$997))+$D$4:$D$987</f>
        <v>0</v>
      </c>
      <c r="D540" s="59"/>
      <c r="E540" s="58"/>
      <c r="F540" s="69"/>
    </row>
    <row r="541" ht="15.75" customHeight="1">
      <c r="B541" s="65"/>
      <c r="C541" s="37">
        <f>SUMIF(Carico!$B$3:$B$975,B541,Carico!$C$3:$C$975)-(SUMIF(Scarico!$B$3:$B$997,B541,Scarico!$C$3:$C$997))+$D$4:$D$987</f>
        <v>0</v>
      </c>
      <c r="D541" s="59"/>
      <c r="E541" s="58"/>
      <c r="F541" s="69"/>
    </row>
    <row r="542" ht="15.75" customHeight="1">
      <c r="B542" s="65"/>
      <c r="C542" s="37">
        <f>SUMIF(Carico!$B$3:$B$975,B542,Carico!$C$3:$C$975)-(SUMIF(Scarico!$B$3:$B$997,B542,Scarico!$C$3:$C$997))+$D$4:$D$987</f>
        <v>0</v>
      </c>
      <c r="D542" s="59"/>
      <c r="E542" s="58"/>
      <c r="F542" s="69"/>
    </row>
    <row r="543" ht="15.75" customHeight="1">
      <c r="B543" s="65"/>
      <c r="C543" s="37">
        <f>SUMIF(Carico!$B$3:$B$975,B543,Carico!$C$3:$C$975)-(SUMIF(Scarico!$B$3:$B$997,B543,Scarico!$C$3:$C$997))+$D$4:$D$987</f>
        <v>0</v>
      </c>
      <c r="D543" s="59"/>
      <c r="E543" s="58"/>
      <c r="F543" s="69"/>
    </row>
    <row r="544" ht="15.75" customHeight="1">
      <c r="B544" s="65"/>
      <c r="C544" s="37">
        <f>SUMIF(Carico!$B$3:$B$975,B544,Carico!$C$3:$C$975)-(SUMIF(Scarico!$B$3:$B$997,B544,Scarico!$C$3:$C$997))+$D$4:$D$987</f>
        <v>0</v>
      </c>
      <c r="D544" s="59"/>
      <c r="E544" s="58"/>
      <c r="F544" s="69"/>
    </row>
    <row r="545" ht="15.75" customHeight="1">
      <c r="B545" s="65"/>
      <c r="C545" s="37">
        <f>SUMIF(Carico!$B$3:$B$975,B545,Carico!$C$3:$C$975)-(SUMIF(Scarico!$B$3:$B$997,B545,Scarico!$C$3:$C$997))+$D$4:$D$987</f>
        <v>0</v>
      </c>
      <c r="D545" s="59"/>
      <c r="E545" s="58"/>
      <c r="F545" s="69"/>
    </row>
    <row r="546" ht="15.75" customHeight="1">
      <c r="B546" s="65"/>
      <c r="C546" s="37">
        <f>SUMIF(Carico!$B$3:$B$975,B546,Carico!$C$3:$C$975)-(SUMIF(Scarico!$B$3:$B$997,B546,Scarico!$C$3:$C$997))+$D$4:$D$987</f>
        <v>0</v>
      </c>
      <c r="D546" s="59"/>
      <c r="E546" s="58"/>
      <c r="F546" s="69"/>
    </row>
    <row r="547" ht="15.75" customHeight="1">
      <c r="B547" s="65"/>
      <c r="C547" s="37">
        <f>SUMIF(Carico!$B$3:$B$975,B547,Carico!$C$3:$C$975)-(SUMIF(Scarico!$B$3:$B$997,B547,Scarico!$C$3:$C$997))+$D$4:$D$987</f>
        <v>0</v>
      </c>
      <c r="D547" s="59"/>
      <c r="E547" s="58"/>
      <c r="F547" s="69"/>
    </row>
    <row r="548" ht="15.75" customHeight="1">
      <c r="B548" s="65"/>
      <c r="C548" s="37">
        <f>SUMIF(Carico!$B$3:$B$975,B548,Carico!$C$3:$C$975)-(SUMIF(Scarico!$B$3:$B$997,B548,Scarico!$C$3:$C$997))+$D$4:$D$987</f>
        <v>0</v>
      </c>
      <c r="D548" s="59"/>
      <c r="E548" s="58"/>
      <c r="F548" s="69"/>
    </row>
    <row r="549" ht="15.75" customHeight="1">
      <c r="B549" s="65"/>
      <c r="C549" s="37">
        <f>SUMIF(Carico!$B$3:$B$975,B549,Carico!$C$3:$C$975)-(SUMIF(Scarico!$B$3:$B$997,B549,Scarico!$C$3:$C$997))+$D$4:$D$987</f>
        <v>0</v>
      </c>
      <c r="D549" s="59"/>
      <c r="E549" s="58"/>
      <c r="F549" s="69"/>
    </row>
    <row r="550" ht="15.75" customHeight="1">
      <c r="B550" s="65"/>
      <c r="C550" s="37">
        <f>SUMIF(Carico!$B$3:$B$975,B550,Carico!$C$3:$C$975)-(SUMIF(Scarico!$B$3:$B$997,B550,Scarico!$C$3:$C$997))+$D$4:$D$987</f>
        <v>0</v>
      </c>
      <c r="D550" s="59"/>
      <c r="E550" s="58"/>
      <c r="F550" s="69"/>
    </row>
    <row r="551" ht="15.75" customHeight="1">
      <c r="B551" s="65"/>
      <c r="C551" s="37">
        <f>SUMIF(Carico!$B$3:$B$975,B551,Carico!$C$3:$C$975)-(SUMIF(Scarico!$B$3:$B$997,B551,Scarico!$C$3:$C$997))+$D$4:$D$987</f>
        <v>0</v>
      </c>
      <c r="D551" s="59"/>
      <c r="E551" s="58"/>
      <c r="F551" s="69"/>
    </row>
    <row r="552" ht="15.75" customHeight="1">
      <c r="B552" s="65"/>
      <c r="C552" s="37">
        <f>SUMIF(Carico!$B$3:$B$975,B552,Carico!$C$3:$C$975)-(SUMIF(Scarico!$B$3:$B$997,B552,Scarico!$C$3:$C$997))+$D$4:$D$987</f>
        <v>0</v>
      </c>
      <c r="D552" s="59"/>
      <c r="E552" s="58"/>
      <c r="F552" s="69"/>
    </row>
    <row r="553" ht="15.75" customHeight="1">
      <c r="B553" s="65"/>
      <c r="C553" s="37">
        <f>SUMIF(Carico!$B$3:$B$975,B553,Carico!$C$3:$C$975)-(SUMIF(Scarico!$B$3:$B$997,B553,Scarico!$C$3:$C$997))+$D$4:$D$987</f>
        <v>0</v>
      </c>
      <c r="D553" s="59"/>
      <c r="E553" s="58"/>
      <c r="F553" s="69"/>
    </row>
    <row r="554" ht="15.75" customHeight="1">
      <c r="B554" s="65"/>
      <c r="C554" s="37">
        <f>SUMIF(Carico!$B$3:$B$975,B554,Carico!$C$3:$C$975)-(SUMIF(Scarico!$B$3:$B$997,B554,Scarico!$C$3:$C$997))+$D$4:$D$987</f>
        <v>0</v>
      </c>
      <c r="D554" s="59"/>
      <c r="E554" s="58"/>
      <c r="F554" s="69"/>
    </row>
    <row r="555" ht="15.75" customHeight="1">
      <c r="B555" s="65"/>
      <c r="C555" s="37">
        <f>SUMIF(Carico!$B$3:$B$975,B555,Carico!$C$3:$C$975)-(SUMIF(Scarico!$B$3:$B$997,B555,Scarico!$C$3:$C$997))+$D$4:$D$987</f>
        <v>0</v>
      </c>
      <c r="D555" s="59"/>
      <c r="E555" s="58"/>
      <c r="F555" s="69"/>
    </row>
    <row r="556" ht="15.75" customHeight="1">
      <c r="B556" s="65"/>
      <c r="C556" s="37">
        <f>SUMIF(Carico!$B$3:$B$975,B556,Carico!$C$3:$C$975)-(SUMIF(Scarico!$B$3:$B$997,B556,Scarico!$C$3:$C$997))+$D$4:$D$987</f>
        <v>0</v>
      </c>
      <c r="D556" s="59"/>
      <c r="E556" s="58"/>
      <c r="F556" s="69"/>
    </row>
    <row r="557" ht="15.75" customHeight="1">
      <c r="B557" s="65"/>
      <c r="C557" s="37">
        <f>SUMIF(Carico!$B$3:$B$975,B557,Carico!$C$3:$C$975)-(SUMIF(Scarico!$B$3:$B$997,B557,Scarico!$C$3:$C$997))+$D$4:$D$987</f>
        <v>0</v>
      </c>
      <c r="D557" s="59"/>
      <c r="E557" s="58"/>
      <c r="F557" s="69"/>
    </row>
    <row r="558" ht="15.75" customHeight="1">
      <c r="B558" s="65"/>
      <c r="C558" s="37">
        <f>SUMIF(Carico!$B$3:$B$975,B558,Carico!$C$3:$C$975)-(SUMIF(Scarico!$B$3:$B$997,B558,Scarico!$C$3:$C$997))+$D$4:$D$987</f>
        <v>0</v>
      </c>
      <c r="D558" s="59"/>
      <c r="E558" s="58"/>
      <c r="F558" s="69"/>
    </row>
    <row r="559" ht="15.75" customHeight="1">
      <c r="B559" s="65"/>
      <c r="C559" s="37">
        <f>SUMIF(Carico!$B$3:$B$975,B559,Carico!$C$3:$C$975)-(SUMIF(Scarico!$B$3:$B$997,B559,Scarico!$C$3:$C$997))+$D$4:$D$987</f>
        <v>0</v>
      </c>
      <c r="D559" s="59"/>
      <c r="E559" s="58"/>
      <c r="F559" s="69"/>
    </row>
    <row r="560" ht="15.75" customHeight="1">
      <c r="B560" s="65"/>
      <c r="C560" s="37">
        <f>SUMIF(Carico!$B$3:$B$975,B560,Carico!$C$3:$C$975)-(SUMIF(Scarico!$B$3:$B$997,B560,Scarico!$C$3:$C$997))+$D$4:$D$987</f>
        <v>0</v>
      </c>
      <c r="D560" s="59"/>
      <c r="E560" s="58"/>
      <c r="F560" s="69"/>
    </row>
    <row r="561" ht="15.75" customHeight="1">
      <c r="B561" s="65"/>
      <c r="C561" s="37">
        <f>SUMIF(Carico!$B$3:$B$975,B561,Carico!$C$3:$C$975)-(SUMIF(Scarico!$B$3:$B$997,B561,Scarico!$C$3:$C$997))+$D$4:$D$987</f>
        <v>0</v>
      </c>
      <c r="D561" s="59"/>
      <c r="E561" s="58"/>
      <c r="F561" s="69"/>
    </row>
    <row r="562" ht="15.75" customHeight="1">
      <c r="B562" s="65"/>
      <c r="C562" s="37">
        <f>SUMIF(Carico!$B$3:$B$975,B562,Carico!$C$3:$C$975)-(SUMIF(Scarico!$B$3:$B$997,B562,Scarico!$C$3:$C$997))+$D$4:$D$987</f>
        <v>0</v>
      </c>
      <c r="D562" s="59"/>
      <c r="E562" s="58"/>
      <c r="F562" s="69"/>
    </row>
    <row r="563" ht="15.75" customHeight="1">
      <c r="B563" s="65"/>
      <c r="C563" s="37">
        <f>SUMIF(Carico!$B$3:$B$975,B563,Carico!$C$3:$C$975)-(SUMIF(Scarico!$B$3:$B$997,B563,Scarico!$C$3:$C$997))+$D$4:$D$987</f>
        <v>0</v>
      </c>
      <c r="D563" s="59"/>
      <c r="E563" s="58"/>
      <c r="F563" s="69"/>
    </row>
    <row r="564" ht="15.75" customHeight="1">
      <c r="B564" s="65"/>
      <c r="C564" s="37">
        <f>SUMIF(Carico!$B$3:$B$975,B564,Carico!$C$3:$C$975)-(SUMIF(Scarico!$B$3:$B$997,B564,Scarico!$C$3:$C$997))+$D$4:$D$987</f>
        <v>0</v>
      </c>
      <c r="D564" s="59"/>
      <c r="E564" s="58"/>
      <c r="F564" s="69"/>
    </row>
    <row r="565" ht="15.75" customHeight="1">
      <c r="B565" s="65"/>
      <c r="C565" s="37">
        <f>SUMIF(Carico!$B$3:$B$975,B565,Carico!$C$3:$C$975)-(SUMIF(Scarico!$B$3:$B$997,B565,Scarico!$C$3:$C$997))+$D$4:$D$987</f>
        <v>0</v>
      </c>
      <c r="D565" s="59"/>
      <c r="E565" s="58"/>
      <c r="F565" s="69"/>
    </row>
    <row r="566" ht="15.75" customHeight="1">
      <c r="B566" s="65"/>
      <c r="C566" s="37">
        <f>SUMIF(Carico!$B$3:$B$975,B566,Carico!$C$3:$C$975)-(SUMIF(Scarico!$B$3:$B$997,B566,Scarico!$C$3:$C$997))+$D$4:$D$987</f>
        <v>0</v>
      </c>
      <c r="D566" s="59"/>
      <c r="E566" s="58"/>
      <c r="F566" s="69"/>
    </row>
    <row r="567" ht="15.75" customHeight="1">
      <c r="B567" s="65"/>
      <c r="C567" s="37">
        <f>SUMIF(Carico!$B$3:$B$975,B567,Carico!$C$3:$C$975)-(SUMIF(Scarico!$B$3:$B$997,B567,Scarico!$C$3:$C$997))+$D$4:$D$987</f>
        <v>0</v>
      </c>
      <c r="D567" s="59"/>
      <c r="E567" s="58"/>
      <c r="F567" s="69"/>
    </row>
    <row r="568" ht="15.75" customHeight="1">
      <c r="B568" s="65"/>
      <c r="C568" s="37">
        <f>SUMIF(Carico!$B$3:$B$975,B568,Carico!$C$3:$C$975)-(SUMIF(Scarico!$B$3:$B$997,B568,Scarico!$C$3:$C$997))+$D$4:$D$987</f>
        <v>0</v>
      </c>
      <c r="D568" s="59"/>
      <c r="E568" s="58"/>
      <c r="F568" s="69"/>
    </row>
    <row r="569" ht="15.75" customHeight="1">
      <c r="B569" s="65"/>
      <c r="C569" s="37">
        <f>SUMIF(Carico!$B$3:$B$975,B569,Carico!$C$3:$C$975)-(SUMIF(Scarico!$B$3:$B$997,B569,Scarico!$C$3:$C$997))+$D$4:$D$987</f>
        <v>0</v>
      </c>
      <c r="D569" s="59"/>
      <c r="E569" s="58"/>
      <c r="F569" s="69"/>
    </row>
    <row r="570" ht="15.75" customHeight="1">
      <c r="B570" s="65"/>
      <c r="C570" s="37">
        <f>SUMIF(Carico!$B$3:$B$975,B570,Carico!$C$3:$C$975)-(SUMIF(Scarico!$B$3:$B$997,B570,Scarico!$C$3:$C$997))+$D$4:$D$987</f>
        <v>0</v>
      </c>
      <c r="D570" s="59"/>
      <c r="E570" s="58"/>
      <c r="F570" s="69"/>
    </row>
    <row r="571" ht="15.75" customHeight="1">
      <c r="B571" s="65"/>
      <c r="C571" s="37">
        <f>SUMIF(Carico!$B$3:$B$975,B571,Carico!$C$3:$C$975)-(SUMIF(Scarico!$B$3:$B$997,B571,Scarico!$C$3:$C$997))+$D$4:$D$987</f>
        <v>0</v>
      </c>
      <c r="D571" s="59"/>
      <c r="E571" s="58"/>
      <c r="F571" s="69"/>
    </row>
    <row r="572" ht="15.75" customHeight="1">
      <c r="B572" s="65"/>
      <c r="C572" s="37">
        <f>SUMIF(Carico!$B$3:$B$975,B572,Carico!$C$3:$C$975)-(SUMIF(Scarico!$B$3:$B$997,B572,Scarico!$C$3:$C$997))+$D$4:$D$987</f>
        <v>0</v>
      </c>
      <c r="D572" s="59"/>
      <c r="E572" s="58"/>
      <c r="F572" s="69"/>
    </row>
    <row r="573" ht="15.75" customHeight="1">
      <c r="B573" s="65"/>
      <c r="C573" s="37">
        <f>SUMIF(Carico!$B$3:$B$975,B573,Carico!$C$3:$C$975)-(SUMIF(Scarico!$B$3:$B$997,B573,Scarico!$C$3:$C$997))+$D$4:$D$987</f>
        <v>0</v>
      </c>
      <c r="D573" s="59"/>
      <c r="E573" s="58"/>
      <c r="F573" s="69"/>
    </row>
    <row r="574" ht="15.75" customHeight="1">
      <c r="B574" s="65"/>
      <c r="C574" s="37">
        <f>SUMIF(Carico!$B$3:$B$975,B574,Carico!$C$3:$C$975)-(SUMIF(Scarico!$B$3:$B$997,B574,Scarico!$C$3:$C$997))+$D$4:$D$987</f>
        <v>0</v>
      </c>
      <c r="D574" s="59"/>
      <c r="E574" s="58"/>
      <c r="F574" s="69"/>
    </row>
    <row r="575" ht="15.75" customHeight="1">
      <c r="B575" s="65"/>
      <c r="C575" s="37">
        <f>SUMIF(Carico!$B$3:$B$975,B575,Carico!$C$3:$C$975)-(SUMIF(Scarico!$B$3:$B$997,B575,Scarico!$C$3:$C$997))+$D$4:$D$987</f>
        <v>0</v>
      </c>
      <c r="D575" s="59"/>
      <c r="E575" s="58"/>
      <c r="F575" s="69"/>
    </row>
    <row r="576" ht="15.75" customHeight="1">
      <c r="B576" s="65"/>
      <c r="C576" s="37">
        <f>SUMIF(Carico!$B$3:$B$975,B576,Carico!$C$3:$C$975)-(SUMIF(Scarico!$B$3:$B$997,B576,Scarico!$C$3:$C$997))+$D$4:$D$987</f>
        <v>0</v>
      </c>
      <c r="D576" s="59"/>
      <c r="E576" s="58"/>
      <c r="F576" s="69"/>
    </row>
    <row r="577" ht="15.75" customHeight="1">
      <c r="B577" s="65"/>
      <c r="C577" s="37">
        <f>SUMIF(Carico!$B$3:$B$975,B577,Carico!$C$3:$C$975)-(SUMIF(Scarico!$B$3:$B$997,B577,Scarico!$C$3:$C$997))+$D$4:$D$987</f>
        <v>0</v>
      </c>
      <c r="D577" s="59"/>
      <c r="E577" s="58"/>
      <c r="F577" s="69"/>
    </row>
    <row r="578" ht="15.75" customHeight="1">
      <c r="B578" s="65"/>
      <c r="C578" s="37">
        <f>SUMIF(Carico!$B$3:$B$975,B578,Carico!$C$3:$C$975)-(SUMIF(Scarico!$B$3:$B$997,B578,Scarico!$C$3:$C$997))+$D$4:$D$987</f>
        <v>0</v>
      </c>
      <c r="D578" s="59"/>
      <c r="E578" s="58"/>
      <c r="F578" s="69"/>
    </row>
    <row r="579" ht="15.75" customHeight="1">
      <c r="B579" s="65"/>
      <c r="C579" s="37">
        <f>SUMIF(Carico!$B$3:$B$975,B579,Carico!$C$3:$C$975)-(SUMIF(Scarico!$B$3:$B$997,B579,Scarico!$C$3:$C$997))+$D$4:$D$987</f>
        <v>0</v>
      </c>
      <c r="D579" s="59"/>
      <c r="E579" s="58"/>
      <c r="F579" s="69"/>
    </row>
    <row r="580" ht="15.75" customHeight="1">
      <c r="B580" s="65"/>
      <c r="C580" s="37">
        <f>SUMIF(Carico!$B$3:$B$975,B580,Carico!$C$3:$C$975)-(SUMIF(Scarico!$B$3:$B$997,B580,Scarico!$C$3:$C$997))+$D$4:$D$987</f>
        <v>0</v>
      </c>
      <c r="D580" s="59"/>
      <c r="E580" s="58"/>
      <c r="F580" s="69"/>
    </row>
    <row r="581" ht="15.75" customHeight="1">
      <c r="B581" s="65"/>
      <c r="C581" s="37">
        <f>SUMIF(Carico!$B$3:$B$975,B581,Carico!$C$3:$C$975)-(SUMIF(Scarico!$B$3:$B$997,B581,Scarico!$C$3:$C$997))+$D$4:$D$987</f>
        <v>0</v>
      </c>
      <c r="D581" s="59"/>
      <c r="E581" s="58"/>
      <c r="F581" s="69"/>
    </row>
    <row r="582" ht="15.75" customHeight="1">
      <c r="B582" s="65"/>
      <c r="C582" s="37">
        <f>SUMIF(Carico!$B$3:$B$975,B582,Carico!$C$3:$C$975)-(SUMIF(Scarico!$B$3:$B$997,B582,Scarico!$C$3:$C$997))+$D$4:$D$987</f>
        <v>0</v>
      </c>
      <c r="D582" s="59"/>
      <c r="E582" s="58"/>
      <c r="F582" s="69"/>
    </row>
    <row r="583" ht="15.75" customHeight="1">
      <c r="B583" s="65"/>
      <c r="C583" s="37">
        <f>SUMIF(Carico!$B$3:$B$975,B583,Carico!$C$3:$C$975)-(SUMIF(Scarico!$B$3:$B$997,B583,Scarico!$C$3:$C$997))+$D$4:$D$987</f>
        <v>0</v>
      </c>
      <c r="D583" s="59"/>
      <c r="E583" s="58"/>
      <c r="F583" s="69"/>
    </row>
    <row r="584" ht="15.75" customHeight="1">
      <c r="B584" s="65"/>
      <c r="C584" s="37">
        <f>SUMIF(Carico!$B$3:$B$975,B584,Carico!$C$3:$C$975)-(SUMIF(Scarico!$B$3:$B$997,B584,Scarico!$C$3:$C$997))+$D$4:$D$987</f>
        <v>0</v>
      </c>
      <c r="D584" s="59"/>
      <c r="E584" s="58"/>
      <c r="F584" s="69"/>
    </row>
    <row r="585" ht="15.75" customHeight="1">
      <c r="B585" s="65"/>
      <c r="C585" s="37">
        <f>SUMIF(Carico!$B$3:$B$975,B585,Carico!$C$3:$C$975)-(SUMIF(Scarico!$B$3:$B$997,B585,Scarico!$C$3:$C$997))+$D$4:$D$987</f>
        <v>0</v>
      </c>
      <c r="D585" s="59"/>
      <c r="E585" s="58"/>
      <c r="F585" s="69"/>
    </row>
    <row r="586" ht="15.75" customHeight="1">
      <c r="B586" s="65"/>
      <c r="C586" s="37">
        <f>SUMIF(Carico!$B$3:$B$975,B586,Carico!$C$3:$C$975)-(SUMIF(Scarico!$B$3:$B$997,B586,Scarico!$C$3:$C$997))+$D$4:$D$987</f>
        <v>0</v>
      </c>
      <c r="D586" s="59"/>
      <c r="E586" s="58"/>
      <c r="F586" s="69"/>
    </row>
    <row r="587" ht="15.75" customHeight="1">
      <c r="B587" s="65"/>
      <c r="C587" s="37">
        <f>SUMIF(Carico!$B$3:$B$975,B587,Carico!$C$3:$C$975)-(SUMIF(Scarico!$B$3:$B$997,B587,Scarico!$C$3:$C$997))+$D$4:$D$987</f>
        <v>0</v>
      </c>
      <c r="D587" s="59"/>
      <c r="E587" s="58"/>
      <c r="F587" s="69"/>
    </row>
    <row r="588" ht="15.75" customHeight="1">
      <c r="B588" s="65"/>
      <c r="C588" s="37">
        <f>SUMIF(Carico!$B$3:$B$975,B588,Carico!$C$3:$C$975)-(SUMIF(Scarico!$B$3:$B$997,B588,Scarico!$C$3:$C$997))+$D$4:$D$987</f>
        <v>0</v>
      </c>
      <c r="D588" s="59"/>
      <c r="E588" s="58"/>
      <c r="F588" s="69"/>
    </row>
    <row r="589" ht="15.75" customHeight="1">
      <c r="B589" s="65"/>
      <c r="C589" s="37">
        <f>SUMIF(Carico!$B$3:$B$975,B589,Carico!$C$3:$C$975)-(SUMIF(Scarico!$B$3:$B$997,B589,Scarico!$C$3:$C$997))+$D$4:$D$987</f>
        <v>0</v>
      </c>
      <c r="D589" s="59"/>
      <c r="E589" s="58"/>
      <c r="F589" s="69"/>
    </row>
    <row r="590" ht="15.75" customHeight="1">
      <c r="B590" s="65"/>
      <c r="C590" s="37">
        <f>SUMIF(Carico!$B$3:$B$975,B590,Carico!$C$3:$C$975)-(SUMIF(Scarico!$B$3:$B$997,B590,Scarico!$C$3:$C$997))+$D$4:$D$987</f>
        <v>0</v>
      </c>
      <c r="D590" s="59"/>
      <c r="E590" s="58"/>
      <c r="F590" s="69"/>
    </row>
    <row r="591" ht="15.75" customHeight="1">
      <c r="B591" s="65"/>
      <c r="C591" s="37">
        <f>SUMIF(Carico!$B$3:$B$975,B591,Carico!$C$3:$C$975)-(SUMIF(Scarico!$B$3:$B$997,B591,Scarico!$C$3:$C$997))+$D$4:$D$987</f>
        <v>0</v>
      </c>
      <c r="D591" s="59"/>
      <c r="E591" s="58"/>
      <c r="F591" s="69"/>
    </row>
    <row r="592" ht="15.75" customHeight="1">
      <c r="B592" s="65"/>
      <c r="C592" s="37">
        <f>SUMIF(Carico!$B$3:$B$975,B592,Carico!$C$3:$C$975)-(SUMIF(Scarico!$B$3:$B$997,B592,Scarico!$C$3:$C$997))+$D$4:$D$987</f>
        <v>0</v>
      </c>
      <c r="D592" s="59"/>
      <c r="E592" s="58"/>
      <c r="F592" s="69"/>
    </row>
    <row r="593" ht="15.75" customHeight="1">
      <c r="B593" s="65"/>
      <c r="C593" s="37">
        <f>SUMIF(Carico!$B$3:$B$975,B593,Carico!$C$3:$C$975)-(SUMIF(Scarico!$B$3:$B$997,B593,Scarico!$C$3:$C$997))+$D$4:$D$987</f>
        <v>0</v>
      </c>
      <c r="D593" s="59"/>
      <c r="E593" s="58"/>
      <c r="F593" s="69"/>
    </row>
    <row r="594" ht="15.75" customHeight="1">
      <c r="B594" s="65"/>
      <c r="C594" s="37">
        <f>SUMIF(Carico!$B$3:$B$975,B594,Carico!$C$3:$C$975)-(SUMIF(Scarico!$B$3:$B$997,B594,Scarico!$C$3:$C$997))+$D$4:$D$987</f>
        <v>0</v>
      </c>
      <c r="D594" s="59"/>
      <c r="E594" s="58"/>
      <c r="F594" s="69"/>
    </row>
    <row r="595" ht="15.75" customHeight="1">
      <c r="B595" s="65"/>
      <c r="C595" s="37">
        <f>SUMIF(Carico!$B$3:$B$975,B595,Carico!$C$3:$C$975)-(SUMIF(Scarico!$B$3:$B$997,B595,Scarico!$C$3:$C$997))+$D$4:$D$987</f>
        <v>0</v>
      </c>
      <c r="D595" s="59"/>
      <c r="E595" s="58"/>
      <c r="F595" s="69"/>
    </row>
    <row r="596" ht="15.75" customHeight="1">
      <c r="B596" s="65"/>
      <c r="C596" s="37">
        <f>SUMIF(Carico!$B$3:$B$975,B596,Carico!$C$3:$C$975)-(SUMIF(Scarico!$B$3:$B$997,B596,Scarico!$C$3:$C$997))+$D$4:$D$987</f>
        <v>0</v>
      </c>
      <c r="D596" s="59"/>
      <c r="E596" s="58"/>
      <c r="F596" s="69"/>
    </row>
    <row r="597" ht="15.75" customHeight="1">
      <c r="B597" s="65"/>
      <c r="C597" s="37">
        <f>SUMIF(Carico!$B$3:$B$975,B597,Carico!$C$3:$C$975)-(SUMIF(Scarico!$B$3:$B$997,B597,Scarico!$C$3:$C$997))+$D$4:$D$987</f>
        <v>0</v>
      </c>
      <c r="D597" s="59"/>
      <c r="E597" s="58"/>
      <c r="F597" s="69"/>
    </row>
    <row r="598" ht="15.75" customHeight="1">
      <c r="B598" s="65"/>
      <c r="C598" s="37">
        <f>SUMIF(Carico!$B$3:$B$975,B598,Carico!$C$3:$C$975)-(SUMIF(Scarico!$B$3:$B$997,B598,Scarico!$C$3:$C$997))+$D$4:$D$987</f>
        <v>0</v>
      </c>
      <c r="D598" s="59"/>
      <c r="E598" s="58"/>
      <c r="F598" s="69"/>
    </row>
    <row r="599" ht="15.75" customHeight="1">
      <c r="B599" s="65"/>
      <c r="C599" s="37">
        <f>SUMIF(Carico!$B$3:$B$975,B599,Carico!$C$3:$C$975)-(SUMIF(Scarico!$B$3:$B$997,B599,Scarico!$C$3:$C$997))+$D$4:$D$987</f>
        <v>0</v>
      </c>
      <c r="D599" s="59"/>
      <c r="E599" s="58"/>
      <c r="F599" s="69"/>
    </row>
    <row r="600" ht="15.75" customHeight="1">
      <c r="B600" s="65"/>
      <c r="C600" s="37">
        <f>SUMIF(Carico!$B$3:$B$975,B600,Carico!$C$3:$C$975)-(SUMIF(Scarico!$B$3:$B$997,B600,Scarico!$C$3:$C$997))+$D$4:$D$987</f>
        <v>0</v>
      </c>
      <c r="D600" s="59"/>
      <c r="E600" s="58"/>
      <c r="F600" s="69"/>
    </row>
    <row r="601" ht="15.75" customHeight="1">
      <c r="B601" s="65"/>
      <c r="C601" s="37">
        <f>SUMIF(Carico!$B$3:$B$975,B601,Carico!$C$3:$C$975)-(SUMIF(Scarico!$B$3:$B$997,B601,Scarico!$C$3:$C$997))+$D$4:$D$987</f>
        <v>0</v>
      </c>
      <c r="D601" s="59"/>
      <c r="E601" s="58"/>
      <c r="F601" s="69"/>
    </row>
    <row r="602" ht="15.75" customHeight="1">
      <c r="B602" s="65"/>
      <c r="C602" s="37">
        <f>SUMIF(Carico!$B$3:$B$975,B602,Carico!$C$3:$C$975)-(SUMIF(Scarico!$B$3:$B$997,B602,Scarico!$C$3:$C$997))+$D$4:$D$987</f>
        <v>0</v>
      </c>
      <c r="D602" s="59"/>
      <c r="E602" s="58"/>
      <c r="F602" s="69"/>
    </row>
    <row r="603" ht="15.75" customHeight="1">
      <c r="B603" s="65"/>
      <c r="C603" s="37">
        <f>SUMIF(Carico!$B$3:$B$975,B603,Carico!$C$3:$C$975)-(SUMIF(Scarico!$B$3:$B$997,B603,Scarico!$C$3:$C$997))+$D$4:$D$987</f>
        <v>0</v>
      </c>
      <c r="D603" s="59"/>
      <c r="E603" s="58"/>
      <c r="F603" s="69"/>
    </row>
    <row r="604" ht="15.75" customHeight="1">
      <c r="B604" s="65"/>
      <c r="C604" s="37">
        <f>SUMIF(Carico!$B$3:$B$975,B604,Carico!$C$3:$C$975)-(SUMIF(Scarico!$B$3:$B$997,B604,Scarico!$C$3:$C$997))+$D$4:$D$987</f>
        <v>0</v>
      </c>
      <c r="D604" s="59"/>
      <c r="E604" s="58"/>
      <c r="F604" s="69"/>
    </row>
    <row r="605" ht="15.75" customHeight="1">
      <c r="B605" s="65"/>
      <c r="C605" s="37">
        <f>SUMIF(Carico!$B$3:$B$975,B605,Carico!$C$3:$C$975)-(SUMIF(Scarico!$B$3:$B$997,B605,Scarico!$C$3:$C$997))+$D$4:$D$987</f>
        <v>0</v>
      </c>
      <c r="D605" s="59"/>
      <c r="E605" s="58"/>
      <c r="F605" s="69"/>
    </row>
    <row r="606" ht="15.75" customHeight="1">
      <c r="B606" s="65"/>
      <c r="C606" s="37">
        <f>SUMIF(Carico!$B$3:$B$975,B606,Carico!$C$3:$C$975)-(SUMIF(Scarico!$B$3:$B$997,B606,Scarico!$C$3:$C$997))+$D$4:$D$987</f>
        <v>0</v>
      </c>
      <c r="D606" s="59"/>
      <c r="E606" s="58"/>
      <c r="F606" s="69"/>
    </row>
    <row r="607" ht="15.75" customHeight="1">
      <c r="B607" s="65"/>
      <c r="C607" s="37">
        <f>SUMIF(Carico!$B$3:$B$975,B607,Carico!$C$3:$C$975)-(SUMIF(Scarico!$B$3:$B$997,B607,Scarico!$C$3:$C$997))+$D$4:$D$987</f>
        <v>0</v>
      </c>
      <c r="D607" s="59"/>
      <c r="E607" s="58"/>
      <c r="F607" s="69"/>
    </row>
    <row r="608" ht="15.75" customHeight="1">
      <c r="B608" s="65"/>
      <c r="C608" s="37">
        <f>SUMIF(Carico!$B$3:$B$975,B608,Carico!$C$3:$C$975)-(SUMIF(Scarico!$B$3:$B$997,B608,Scarico!$C$3:$C$997))+$D$4:$D$987</f>
        <v>0</v>
      </c>
      <c r="D608" s="59"/>
      <c r="E608" s="58"/>
      <c r="F608" s="69"/>
    </row>
    <row r="609" ht="15.75" customHeight="1">
      <c r="B609" s="65"/>
      <c r="C609" s="37">
        <f>SUMIF(Carico!$B$3:$B$975,B609,Carico!$C$3:$C$975)-(SUMIF(Scarico!$B$3:$B$997,B609,Scarico!$C$3:$C$997))+$D$4:$D$987</f>
        <v>0</v>
      </c>
      <c r="D609" s="59"/>
      <c r="E609" s="58"/>
      <c r="F609" s="69"/>
    </row>
    <row r="610" ht="15.75" customHeight="1">
      <c r="B610" s="65"/>
      <c r="C610" s="37">
        <f>SUMIF(Carico!$B$3:$B$975,B610,Carico!$C$3:$C$975)-(SUMIF(Scarico!$B$3:$B$997,B610,Scarico!$C$3:$C$997))+$D$4:$D$987</f>
        <v>0</v>
      </c>
      <c r="D610" s="59"/>
      <c r="E610" s="58"/>
      <c r="F610" s="69"/>
    </row>
    <row r="611" ht="15.75" customHeight="1">
      <c r="B611" s="65"/>
      <c r="C611" s="37">
        <f>SUMIF(Carico!$B$3:$B$975,B611,Carico!$C$3:$C$975)-(SUMIF(Scarico!$B$3:$B$997,B611,Scarico!$C$3:$C$997))+$D$4:$D$987</f>
        <v>0</v>
      </c>
      <c r="D611" s="59"/>
      <c r="E611" s="58"/>
      <c r="F611" s="69"/>
    </row>
    <row r="612" ht="15.75" customHeight="1">
      <c r="B612" s="65"/>
      <c r="C612" s="37">
        <f>SUMIF(Carico!$B$3:$B$975,B612,Carico!$C$3:$C$975)-(SUMIF(Scarico!$B$3:$B$997,B612,Scarico!$C$3:$C$997))+$D$4:$D$987</f>
        <v>0</v>
      </c>
      <c r="D612" s="59"/>
      <c r="E612" s="58"/>
      <c r="F612" s="69"/>
    </row>
    <row r="613" ht="15.75" customHeight="1">
      <c r="B613" s="65"/>
      <c r="C613" s="37">
        <f>SUMIF(Carico!$B$3:$B$975,B613,Carico!$C$3:$C$975)-(SUMIF(Scarico!$B$3:$B$997,B613,Scarico!$C$3:$C$997))+$D$4:$D$987</f>
        <v>0</v>
      </c>
      <c r="D613" s="59"/>
      <c r="E613" s="58"/>
      <c r="F613" s="69"/>
    </row>
    <row r="614" ht="15.75" customHeight="1">
      <c r="B614" s="65"/>
      <c r="C614" s="37">
        <f>SUMIF(Carico!$B$3:$B$975,B614,Carico!$C$3:$C$975)-(SUMIF(Scarico!$B$3:$B$997,B614,Scarico!$C$3:$C$997))+$D$4:$D$987</f>
        <v>0</v>
      </c>
      <c r="D614" s="59"/>
      <c r="E614" s="58"/>
      <c r="F614" s="69"/>
    </row>
    <row r="615" ht="15.75" customHeight="1">
      <c r="B615" s="65"/>
      <c r="C615" s="37">
        <f>SUMIF(Carico!$B$3:$B$975,B615,Carico!$C$3:$C$975)-(SUMIF(Scarico!$B$3:$B$997,B615,Scarico!$C$3:$C$997))+$D$4:$D$987</f>
        <v>0</v>
      </c>
      <c r="D615" s="59"/>
      <c r="E615" s="58"/>
      <c r="F615" s="69"/>
    </row>
    <row r="616" ht="15.75" customHeight="1">
      <c r="B616" s="65"/>
      <c r="C616" s="37">
        <f>SUMIF(Carico!$B$3:$B$975,B616,Carico!$C$3:$C$975)-(SUMIF(Scarico!$B$3:$B$997,B616,Scarico!$C$3:$C$997))+$D$4:$D$987</f>
        <v>0</v>
      </c>
      <c r="D616" s="59"/>
      <c r="E616" s="58"/>
      <c r="F616" s="69"/>
    </row>
    <row r="617" ht="15.75" customHeight="1">
      <c r="B617" s="65"/>
      <c r="C617" s="37">
        <f>SUMIF(Carico!$B$3:$B$975,B617,Carico!$C$3:$C$975)-(SUMIF(Scarico!$B$3:$B$997,B617,Scarico!$C$3:$C$997))+$D$4:$D$987</f>
        <v>0</v>
      </c>
      <c r="D617" s="59"/>
      <c r="E617" s="58"/>
      <c r="F617" s="69"/>
    </row>
    <row r="618" ht="15.75" customHeight="1">
      <c r="B618" s="65"/>
      <c r="C618" s="37">
        <f>SUMIF(Carico!$B$3:$B$975,B618,Carico!$C$3:$C$975)-(SUMIF(Scarico!$B$3:$B$997,B618,Scarico!$C$3:$C$997))+$D$4:$D$987</f>
        <v>0</v>
      </c>
      <c r="D618" s="59"/>
      <c r="E618" s="58"/>
      <c r="F618" s="69"/>
    </row>
    <row r="619" ht="15.75" customHeight="1">
      <c r="B619" s="65"/>
      <c r="C619" s="37">
        <f>SUMIF(Carico!$B$3:$B$975,B619,Carico!$C$3:$C$975)-(SUMIF(Scarico!$B$3:$B$997,B619,Scarico!$C$3:$C$997))+$D$4:$D$987</f>
        <v>0</v>
      </c>
      <c r="D619" s="59"/>
      <c r="E619" s="58"/>
      <c r="F619" s="69"/>
    </row>
    <row r="620" ht="15.75" customHeight="1">
      <c r="B620" s="65"/>
      <c r="C620" s="37">
        <f>SUMIF(Carico!$B$3:$B$975,B620,Carico!$C$3:$C$975)-(SUMIF(Scarico!$B$3:$B$997,B620,Scarico!$C$3:$C$997))+$D$4:$D$987</f>
        <v>0</v>
      </c>
      <c r="D620" s="59"/>
      <c r="E620" s="58"/>
      <c r="F620" s="69"/>
    </row>
    <row r="621" ht="15.75" customHeight="1">
      <c r="B621" s="65"/>
      <c r="C621" s="37">
        <f>SUMIF(Carico!$B$3:$B$975,B621,Carico!$C$3:$C$975)-(SUMIF(Scarico!$B$3:$B$997,B621,Scarico!$C$3:$C$997))+$D$4:$D$987</f>
        <v>0</v>
      </c>
      <c r="D621" s="59"/>
      <c r="E621" s="58"/>
      <c r="F621" s="69"/>
    </row>
    <row r="622" ht="15.75" customHeight="1">
      <c r="B622" s="65"/>
      <c r="C622" s="37">
        <f>SUMIF(Carico!$B$3:$B$975,B622,Carico!$C$3:$C$975)-(SUMIF(Scarico!$B$3:$B$997,B622,Scarico!$C$3:$C$997))+$D$4:$D$987</f>
        <v>0</v>
      </c>
      <c r="D622" s="59"/>
      <c r="E622" s="58"/>
      <c r="F622" s="69"/>
    </row>
    <row r="623" ht="15.75" customHeight="1">
      <c r="B623" s="65"/>
      <c r="C623" s="37">
        <f>SUMIF(Carico!$B$3:$B$975,B623,Carico!$C$3:$C$975)-(SUMIF(Scarico!$B$3:$B$997,B623,Scarico!$C$3:$C$997))+$D$4:$D$987</f>
        <v>0</v>
      </c>
      <c r="D623" s="59"/>
      <c r="E623" s="58"/>
      <c r="F623" s="69"/>
    </row>
    <row r="624" ht="15.75" customHeight="1">
      <c r="B624" s="65"/>
      <c r="C624" s="37">
        <f>SUMIF(Carico!$B$3:$B$975,B624,Carico!$C$3:$C$975)-(SUMIF(Scarico!$B$3:$B$997,B624,Scarico!$C$3:$C$997))+$D$4:$D$987</f>
        <v>0</v>
      </c>
      <c r="D624" s="59"/>
      <c r="E624" s="58"/>
      <c r="F624" s="69"/>
    </row>
    <row r="625" ht="15.75" customHeight="1">
      <c r="B625" s="65"/>
      <c r="C625" s="37">
        <f>SUMIF(Carico!$B$3:$B$975,B625,Carico!$C$3:$C$975)-(SUMIF(Scarico!$B$3:$B$997,B625,Scarico!$C$3:$C$997))+$D$4:$D$987</f>
        <v>0</v>
      </c>
      <c r="D625" s="59"/>
      <c r="E625" s="58"/>
      <c r="F625" s="69"/>
    </row>
    <row r="626" ht="15.75" customHeight="1">
      <c r="B626" s="65"/>
      <c r="C626" s="37">
        <f>SUMIF(Carico!$B$3:$B$975,B626,Carico!$C$3:$C$975)-(SUMIF(Scarico!$B$3:$B$997,B626,Scarico!$C$3:$C$997))+$D$4:$D$987</f>
        <v>0</v>
      </c>
      <c r="D626" s="59"/>
      <c r="E626" s="58"/>
      <c r="F626" s="69"/>
    </row>
    <row r="627" ht="15.75" customHeight="1">
      <c r="B627" s="65"/>
      <c r="C627" s="37">
        <f>SUMIF(Carico!$B$3:$B$975,B627,Carico!$C$3:$C$975)-(SUMIF(Scarico!$B$3:$B$997,B627,Scarico!$C$3:$C$997))+$D$4:$D$987</f>
        <v>0</v>
      </c>
      <c r="D627" s="59"/>
      <c r="E627" s="58"/>
      <c r="F627" s="69"/>
    </row>
    <row r="628" ht="15.75" customHeight="1">
      <c r="B628" s="65"/>
      <c r="C628" s="37">
        <f>SUMIF(Carico!$B$3:$B$975,B628,Carico!$C$3:$C$975)-(SUMIF(Scarico!$B$3:$B$997,B628,Scarico!$C$3:$C$997))+$D$4:$D$987</f>
        <v>0</v>
      </c>
      <c r="D628" s="59"/>
      <c r="E628" s="58"/>
      <c r="F628" s="69"/>
    </row>
    <row r="629" ht="15.75" customHeight="1">
      <c r="B629" s="65"/>
      <c r="C629" s="37">
        <f>SUMIF(Carico!$B$3:$B$975,B629,Carico!$C$3:$C$975)-(SUMIF(Scarico!$B$3:$B$997,B629,Scarico!$C$3:$C$997))+$D$4:$D$987</f>
        <v>0</v>
      </c>
      <c r="D629" s="59"/>
      <c r="E629" s="58"/>
      <c r="F629" s="69"/>
    </row>
    <row r="630" ht="15.75" customHeight="1">
      <c r="B630" s="65"/>
      <c r="C630" s="37">
        <f>SUMIF(Carico!$B$3:$B$975,B630,Carico!$C$3:$C$975)-(SUMIF(Scarico!$B$3:$B$997,B630,Scarico!$C$3:$C$997))+$D$4:$D$987</f>
        <v>0</v>
      </c>
      <c r="D630" s="59"/>
      <c r="E630" s="58"/>
      <c r="F630" s="69"/>
    </row>
    <row r="631" ht="15.75" customHeight="1">
      <c r="B631" s="65"/>
      <c r="C631" s="37">
        <f>SUMIF(Carico!$B$3:$B$975,B631,Carico!$C$3:$C$975)-(SUMIF(Scarico!$B$3:$B$997,B631,Scarico!$C$3:$C$997))+$D$4:$D$987</f>
        <v>0</v>
      </c>
      <c r="D631" s="59"/>
      <c r="E631" s="58"/>
      <c r="F631" s="69"/>
    </row>
    <row r="632" ht="15.75" customHeight="1">
      <c r="B632" s="65"/>
      <c r="C632" s="37">
        <f>SUMIF(Carico!$B$3:$B$975,B632,Carico!$C$3:$C$975)-(SUMIF(Scarico!$B$3:$B$997,B632,Scarico!$C$3:$C$997))+$D$4:$D$987</f>
        <v>0</v>
      </c>
      <c r="D632" s="59"/>
      <c r="E632" s="58"/>
      <c r="F632" s="69"/>
    </row>
    <row r="633" ht="15.75" customHeight="1">
      <c r="B633" s="65"/>
      <c r="C633" s="37">
        <f>SUMIF(Carico!$B$3:$B$975,B633,Carico!$C$3:$C$975)-(SUMIF(Scarico!$B$3:$B$997,B633,Scarico!$C$3:$C$997))+$D$4:$D$987</f>
        <v>0</v>
      </c>
      <c r="D633" s="59"/>
      <c r="E633" s="58"/>
      <c r="F633" s="69"/>
    </row>
    <row r="634" ht="15.75" customHeight="1">
      <c r="B634" s="65"/>
      <c r="C634" s="37">
        <f>SUMIF(Carico!$B$3:$B$975,B634,Carico!$C$3:$C$975)-(SUMIF(Scarico!$B$3:$B$997,B634,Scarico!$C$3:$C$997))+$D$4:$D$987</f>
        <v>0</v>
      </c>
      <c r="D634" s="59"/>
      <c r="E634" s="58"/>
      <c r="F634" s="69"/>
    </row>
    <row r="635" ht="15.75" customHeight="1">
      <c r="B635" s="65"/>
      <c r="C635" s="37">
        <f>SUMIF(Carico!$B$3:$B$975,B635,Carico!$C$3:$C$975)-(SUMIF(Scarico!$B$3:$B$997,B635,Scarico!$C$3:$C$997))+$D$4:$D$987</f>
        <v>0</v>
      </c>
      <c r="D635" s="59"/>
      <c r="E635" s="58"/>
      <c r="F635" s="69"/>
    </row>
    <row r="636" ht="15.75" customHeight="1">
      <c r="B636" s="65"/>
      <c r="C636" s="37">
        <f>SUMIF(Carico!$B$3:$B$975,B636,Carico!$C$3:$C$975)-(SUMIF(Scarico!$B$3:$B$997,B636,Scarico!$C$3:$C$997))+$D$4:$D$987</f>
        <v>0</v>
      </c>
      <c r="D636" s="59"/>
      <c r="E636" s="58"/>
      <c r="F636" s="69"/>
    </row>
    <row r="637" ht="15.75" customHeight="1">
      <c r="B637" s="65"/>
      <c r="C637" s="37">
        <f>SUMIF(Carico!$B$3:$B$975,B637,Carico!$C$3:$C$975)-(SUMIF(Scarico!$B$3:$B$997,B637,Scarico!$C$3:$C$997))+$D$4:$D$987</f>
        <v>0</v>
      </c>
      <c r="D637" s="59"/>
      <c r="E637" s="58"/>
      <c r="F637" s="69"/>
    </row>
    <row r="638" ht="15.75" customHeight="1">
      <c r="B638" s="65"/>
      <c r="C638" s="37">
        <f>SUMIF(Carico!$B$3:$B$975,B638,Carico!$C$3:$C$975)-(SUMIF(Scarico!$B$3:$B$997,B638,Scarico!$C$3:$C$997))+$D$4:$D$987</f>
        <v>0</v>
      </c>
      <c r="D638" s="59"/>
      <c r="E638" s="58"/>
      <c r="F638" s="69"/>
    </row>
    <row r="639" ht="15.75" customHeight="1">
      <c r="B639" s="65"/>
      <c r="C639" s="37">
        <f>SUMIF(Carico!$B$3:$B$975,B639,Carico!$C$3:$C$975)-(SUMIF(Scarico!$B$3:$B$997,B639,Scarico!$C$3:$C$997))+$D$4:$D$987</f>
        <v>0</v>
      </c>
      <c r="D639" s="59"/>
      <c r="E639" s="58"/>
      <c r="F639" s="69"/>
    </row>
    <row r="640" ht="15.75" customHeight="1">
      <c r="B640" s="65"/>
      <c r="C640" s="37">
        <f>SUMIF(Carico!$B$3:$B$975,B640,Carico!$C$3:$C$975)-(SUMIF(Scarico!$B$3:$B$997,B640,Scarico!$C$3:$C$997))+$D$4:$D$987</f>
        <v>0</v>
      </c>
      <c r="D640" s="59"/>
      <c r="E640" s="58"/>
      <c r="F640" s="69"/>
    </row>
    <row r="641" ht="15.75" customHeight="1">
      <c r="B641" s="65"/>
      <c r="C641" s="37">
        <f>SUMIF(Carico!$B$3:$B$975,B641,Carico!$C$3:$C$975)-(SUMIF(Scarico!$B$3:$B$997,B641,Scarico!$C$3:$C$997))+$D$4:$D$987</f>
        <v>0</v>
      </c>
      <c r="D641" s="59"/>
      <c r="E641" s="58"/>
      <c r="F641" s="69"/>
    </row>
    <row r="642" ht="15.75" customHeight="1">
      <c r="B642" s="65"/>
      <c r="C642" s="37">
        <f>SUMIF(Carico!$B$3:$B$975,B642,Carico!$C$3:$C$975)-(SUMIF(Scarico!$B$3:$B$997,B642,Scarico!$C$3:$C$997))+$D$4:$D$987</f>
        <v>0</v>
      </c>
      <c r="D642" s="59"/>
      <c r="E642" s="58"/>
      <c r="F642" s="69"/>
    </row>
    <row r="643" ht="15.75" customHeight="1">
      <c r="B643" s="65"/>
      <c r="C643" s="37">
        <f>SUMIF(Carico!$B$3:$B$975,B643,Carico!$C$3:$C$975)-(SUMIF(Scarico!$B$3:$B$997,B643,Scarico!$C$3:$C$997))+$D$4:$D$987</f>
        <v>0</v>
      </c>
      <c r="D643" s="59"/>
      <c r="E643" s="58"/>
      <c r="F643" s="69"/>
    </row>
    <row r="644" ht="15.75" customHeight="1">
      <c r="B644" s="65"/>
      <c r="C644" s="37">
        <f>SUMIF(Carico!$B$3:$B$975,B644,Carico!$C$3:$C$975)-(SUMIF(Scarico!$B$3:$B$997,B644,Scarico!$C$3:$C$997))+$D$4:$D$987</f>
        <v>0</v>
      </c>
      <c r="D644" s="59"/>
      <c r="E644" s="58"/>
      <c r="F644" s="69"/>
    </row>
    <row r="645" ht="15.75" customHeight="1">
      <c r="B645" s="65"/>
      <c r="C645" s="37">
        <f>SUMIF(Carico!$B$3:$B$975,B645,Carico!$C$3:$C$975)-(SUMIF(Scarico!$B$3:$B$997,B645,Scarico!$C$3:$C$997))+$D$4:$D$987</f>
        <v>0</v>
      </c>
      <c r="D645" s="59"/>
      <c r="E645" s="58"/>
      <c r="F645" s="69"/>
    </row>
    <row r="646" ht="15.75" customHeight="1">
      <c r="B646" s="65"/>
      <c r="C646" s="37">
        <f>SUMIF(Carico!$B$3:$B$975,B646,Carico!$C$3:$C$975)-(SUMIF(Scarico!$B$3:$B$997,B646,Scarico!$C$3:$C$997))+$D$4:$D$987</f>
        <v>0</v>
      </c>
      <c r="D646" s="59"/>
      <c r="E646" s="58"/>
      <c r="F646" s="69"/>
    </row>
    <row r="647" ht="15.75" customHeight="1">
      <c r="B647" s="65"/>
      <c r="C647" s="37">
        <f>SUMIF(Carico!$B$3:$B$975,B647,Carico!$C$3:$C$975)-(SUMIF(Scarico!$B$3:$B$997,B647,Scarico!$C$3:$C$997))+$D$4:$D$987</f>
        <v>0</v>
      </c>
      <c r="D647" s="59"/>
      <c r="E647" s="58"/>
      <c r="F647" s="69"/>
    </row>
    <row r="648" ht="15.75" customHeight="1">
      <c r="B648" s="65"/>
      <c r="C648" s="37">
        <f>SUMIF(Carico!$B$3:$B$975,B648,Carico!$C$3:$C$975)-(SUMIF(Scarico!$B$3:$B$997,B648,Scarico!$C$3:$C$997))+$D$4:$D$987</f>
        <v>0</v>
      </c>
      <c r="D648" s="59"/>
      <c r="E648" s="58"/>
      <c r="F648" s="69"/>
    </row>
    <row r="649" ht="15.75" customHeight="1">
      <c r="B649" s="65"/>
      <c r="C649" s="37">
        <f>SUMIF(Carico!$B$3:$B$975,B649,Carico!$C$3:$C$975)-(SUMIF(Scarico!$B$3:$B$997,B649,Scarico!$C$3:$C$997))+$D$4:$D$987</f>
        <v>0</v>
      </c>
      <c r="D649" s="59"/>
      <c r="E649" s="58"/>
      <c r="F649" s="69"/>
    </row>
    <row r="650" ht="15.75" customHeight="1">
      <c r="B650" s="65"/>
      <c r="C650" s="37">
        <f>SUMIF(Carico!$B$3:$B$975,B650,Carico!$C$3:$C$975)-(SUMIF(Scarico!$B$3:$B$997,B650,Scarico!$C$3:$C$997))+$D$4:$D$987</f>
        <v>0</v>
      </c>
      <c r="D650" s="59"/>
      <c r="E650" s="58"/>
      <c r="F650" s="69"/>
    </row>
    <row r="651" ht="15.75" customHeight="1">
      <c r="B651" s="65"/>
      <c r="C651" s="37">
        <f>SUMIF(Carico!$B$3:$B$975,B651,Carico!$C$3:$C$975)-(SUMIF(Scarico!$B$3:$B$997,B651,Scarico!$C$3:$C$997))+$D$4:$D$987</f>
        <v>0</v>
      </c>
      <c r="D651" s="59"/>
      <c r="E651" s="58"/>
      <c r="F651" s="69"/>
    </row>
    <row r="652" ht="15.75" customHeight="1">
      <c r="B652" s="65"/>
      <c r="C652" s="37">
        <f>SUMIF(Carico!$B$3:$B$975,B652,Carico!$C$3:$C$975)-(SUMIF(Scarico!$B$3:$B$997,B652,Scarico!$C$3:$C$997))+$D$4:$D$987</f>
        <v>0</v>
      </c>
      <c r="D652" s="59"/>
      <c r="E652" s="58"/>
      <c r="F652" s="69"/>
    </row>
    <row r="653" ht="15.75" customHeight="1">
      <c r="B653" s="65"/>
      <c r="C653" s="37">
        <f>SUMIF(Carico!$B$3:$B$975,B653,Carico!$C$3:$C$975)-(SUMIF(Scarico!$B$3:$B$997,B653,Scarico!$C$3:$C$997))+$D$4:$D$987</f>
        <v>0</v>
      </c>
      <c r="D653" s="59"/>
      <c r="E653" s="58"/>
      <c r="F653" s="69"/>
    </row>
    <row r="654" ht="15.75" customHeight="1">
      <c r="B654" s="65"/>
      <c r="C654" s="37">
        <f>SUMIF(Carico!$B$3:$B$975,B654,Carico!$C$3:$C$975)-(SUMIF(Scarico!$B$3:$B$997,B654,Scarico!$C$3:$C$997))+$D$4:$D$987</f>
        <v>0</v>
      </c>
      <c r="D654" s="59"/>
      <c r="E654" s="58"/>
      <c r="F654" s="69"/>
    </row>
    <row r="655" ht="15.75" customHeight="1">
      <c r="B655" s="65"/>
      <c r="C655" s="37">
        <f>SUMIF(Carico!$B$3:$B$975,B655,Carico!$C$3:$C$975)-(SUMIF(Scarico!$B$3:$B$997,B655,Scarico!$C$3:$C$997))+$D$4:$D$987</f>
        <v>0</v>
      </c>
      <c r="D655" s="59"/>
      <c r="E655" s="58"/>
      <c r="F655" s="69"/>
    </row>
    <row r="656" ht="15.75" customHeight="1">
      <c r="B656" s="65"/>
      <c r="C656" s="37">
        <f>SUMIF(Carico!$B$3:$B$975,B656,Carico!$C$3:$C$975)-(SUMIF(Scarico!$B$3:$B$997,B656,Scarico!$C$3:$C$997))+$D$4:$D$987</f>
        <v>0</v>
      </c>
      <c r="D656" s="59"/>
      <c r="E656" s="58"/>
      <c r="F656" s="69"/>
    </row>
    <row r="657" ht="15.75" customHeight="1">
      <c r="B657" s="65"/>
      <c r="C657" s="37">
        <f>SUMIF(Carico!$B$3:$B$975,B657,Carico!$C$3:$C$975)-(SUMIF(Scarico!$B$3:$B$997,B657,Scarico!$C$3:$C$997))+$D$4:$D$987</f>
        <v>0</v>
      </c>
      <c r="D657" s="59"/>
      <c r="E657" s="58"/>
      <c r="F657" s="69"/>
    </row>
    <row r="658" ht="15.75" customHeight="1">
      <c r="B658" s="65"/>
      <c r="C658" s="37">
        <f>SUMIF(Carico!$B$3:$B$975,B658,Carico!$C$3:$C$975)-(SUMIF(Scarico!$B$3:$B$997,B658,Scarico!$C$3:$C$997))+$D$4:$D$987</f>
        <v>0</v>
      </c>
      <c r="D658" s="59"/>
      <c r="E658" s="58"/>
      <c r="F658" s="69"/>
    </row>
    <row r="659" ht="15.75" customHeight="1">
      <c r="B659" s="65"/>
      <c r="C659" s="37">
        <f>SUMIF(Carico!$B$3:$B$975,B659,Carico!$C$3:$C$975)-(SUMIF(Scarico!$B$3:$B$997,B659,Scarico!$C$3:$C$997))+$D$4:$D$987</f>
        <v>0</v>
      </c>
      <c r="D659" s="59"/>
      <c r="E659" s="58"/>
      <c r="F659" s="69"/>
    </row>
    <row r="660" ht="15.75" customHeight="1">
      <c r="B660" s="65"/>
      <c r="C660" s="37">
        <f>SUMIF(Carico!$B$3:$B$975,B660,Carico!$C$3:$C$975)-(SUMIF(Scarico!$B$3:$B$997,B660,Scarico!$C$3:$C$997))+$D$4:$D$987</f>
        <v>0</v>
      </c>
      <c r="D660" s="59"/>
      <c r="E660" s="58"/>
      <c r="F660" s="69"/>
    </row>
    <row r="661" ht="15.75" customHeight="1">
      <c r="B661" s="65"/>
      <c r="C661" s="37">
        <f>SUMIF(Carico!$B$3:$B$975,B661,Carico!$C$3:$C$975)-(SUMIF(Scarico!$B$3:$B$997,B661,Scarico!$C$3:$C$997))+$D$4:$D$987</f>
        <v>0</v>
      </c>
      <c r="D661" s="59"/>
      <c r="E661" s="58"/>
      <c r="F661" s="69"/>
    </row>
    <row r="662" ht="15.75" customHeight="1">
      <c r="B662" s="65"/>
      <c r="C662" s="37">
        <f>SUMIF(Carico!$B$3:$B$975,B662,Carico!$C$3:$C$975)-(SUMIF(Scarico!$B$3:$B$997,B662,Scarico!$C$3:$C$997))+$D$4:$D$987</f>
        <v>0</v>
      </c>
      <c r="D662" s="59"/>
      <c r="E662" s="58"/>
      <c r="F662" s="69"/>
    </row>
    <row r="663" ht="15.75" customHeight="1">
      <c r="B663" s="65"/>
      <c r="C663" s="37">
        <f>SUMIF(Carico!$B$3:$B$975,B663,Carico!$C$3:$C$975)-(SUMIF(Scarico!$B$3:$B$997,B663,Scarico!$C$3:$C$997))+$D$4:$D$987</f>
        <v>0</v>
      </c>
      <c r="D663" s="59"/>
      <c r="E663" s="58"/>
      <c r="F663" s="69"/>
    </row>
    <row r="664" ht="15.75" customHeight="1">
      <c r="B664" s="65"/>
      <c r="C664" s="37">
        <f>SUMIF(Carico!$B$3:$B$975,B664,Carico!$C$3:$C$975)-(SUMIF(Scarico!$B$3:$B$997,B664,Scarico!$C$3:$C$997))+$D$4:$D$987</f>
        <v>0</v>
      </c>
      <c r="D664" s="59"/>
      <c r="E664" s="58"/>
      <c r="F664" s="69"/>
    </row>
    <row r="665" ht="15.75" customHeight="1">
      <c r="B665" s="65"/>
      <c r="C665" s="37">
        <f>SUMIF(Carico!$B$3:$B$975,B665,Carico!$C$3:$C$975)-(SUMIF(Scarico!$B$3:$B$997,B665,Scarico!$C$3:$C$997))+$D$4:$D$987</f>
        <v>0</v>
      </c>
      <c r="D665" s="59"/>
      <c r="E665" s="58"/>
      <c r="F665" s="69"/>
    </row>
    <row r="666" ht="15.75" customHeight="1">
      <c r="B666" s="65"/>
      <c r="C666" s="37">
        <f>SUMIF(Carico!$B$3:$B$975,B666,Carico!$C$3:$C$975)-(SUMIF(Scarico!$B$3:$B$997,B666,Scarico!$C$3:$C$997))+$D$4:$D$987</f>
        <v>0</v>
      </c>
      <c r="D666" s="59"/>
      <c r="E666" s="58"/>
      <c r="F666" s="69"/>
    </row>
    <row r="667" ht="15.75" customHeight="1">
      <c r="B667" s="65"/>
      <c r="C667" s="37">
        <f>SUMIF(Carico!$B$3:$B$975,B667,Carico!$C$3:$C$975)-(SUMIF(Scarico!$B$3:$B$997,B667,Scarico!$C$3:$C$997))+$D$4:$D$987</f>
        <v>0</v>
      </c>
      <c r="D667" s="59"/>
      <c r="E667" s="58"/>
      <c r="F667" s="69"/>
    </row>
    <row r="668" ht="15.75" customHeight="1">
      <c r="B668" s="65"/>
      <c r="C668" s="37">
        <f>SUMIF(Carico!$B$3:$B$975,B668,Carico!$C$3:$C$975)-(SUMIF(Scarico!$B$3:$B$997,B668,Scarico!$C$3:$C$997))+$D$4:$D$987</f>
        <v>0</v>
      </c>
      <c r="D668" s="59"/>
      <c r="E668" s="58"/>
      <c r="F668" s="69"/>
    </row>
    <row r="669" ht="15.75" customHeight="1">
      <c r="B669" s="65"/>
      <c r="C669" s="37">
        <f>SUMIF(Carico!$B$3:$B$975,B669,Carico!$C$3:$C$975)-(SUMIF(Scarico!$B$3:$B$997,B669,Scarico!$C$3:$C$997))+$D$4:$D$987</f>
        <v>0</v>
      </c>
      <c r="D669" s="59"/>
      <c r="E669" s="58"/>
      <c r="F669" s="69"/>
    </row>
    <row r="670" ht="15.75" customHeight="1">
      <c r="B670" s="65"/>
      <c r="C670" s="37">
        <f>SUMIF(Carico!$B$3:$B$975,B670,Carico!$C$3:$C$975)-(SUMIF(Scarico!$B$3:$B$997,B670,Scarico!$C$3:$C$997))+$D$4:$D$987</f>
        <v>0</v>
      </c>
      <c r="D670" s="59"/>
      <c r="E670" s="58"/>
      <c r="F670" s="69"/>
    </row>
    <row r="671" ht="15.75" customHeight="1">
      <c r="B671" s="65"/>
      <c r="C671" s="37">
        <f>SUMIF(Carico!$B$3:$B$975,B671,Carico!$C$3:$C$975)-(SUMIF(Scarico!$B$3:$B$997,B671,Scarico!$C$3:$C$997))+$D$4:$D$987</f>
        <v>0</v>
      </c>
      <c r="D671" s="59"/>
      <c r="E671" s="58"/>
      <c r="F671" s="69"/>
    </row>
    <row r="672" ht="15.75" customHeight="1">
      <c r="B672" s="65"/>
      <c r="C672" s="37">
        <f>SUMIF(Carico!$B$3:$B$975,B672,Carico!$C$3:$C$975)-(SUMIF(Scarico!$B$3:$B$997,B672,Scarico!$C$3:$C$997))+$D$4:$D$987</f>
        <v>0</v>
      </c>
      <c r="D672" s="59"/>
      <c r="E672" s="58"/>
      <c r="F672" s="69"/>
    </row>
    <row r="673" ht="15.75" customHeight="1">
      <c r="B673" s="65"/>
      <c r="C673" s="37">
        <f>SUMIF(Carico!$B$3:$B$975,B673,Carico!$C$3:$C$975)-(SUMIF(Scarico!$B$3:$B$997,B673,Scarico!$C$3:$C$997))+$D$4:$D$987</f>
        <v>0</v>
      </c>
      <c r="D673" s="59"/>
      <c r="E673" s="58"/>
      <c r="F673" s="69"/>
    </row>
    <row r="674" ht="15.75" customHeight="1">
      <c r="B674" s="65"/>
      <c r="C674" s="37">
        <f>SUMIF(Carico!$B$3:$B$975,B674,Carico!$C$3:$C$975)-(SUMIF(Scarico!$B$3:$B$997,B674,Scarico!$C$3:$C$997))+$D$4:$D$987</f>
        <v>0</v>
      </c>
      <c r="D674" s="59"/>
      <c r="E674" s="58"/>
      <c r="F674" s="69"/>
    </row>
    <row r="675" ht="15.75" customHeight="1">
      <c r="B675" s="65"/>
      <c r="C675" s="37">
        <f>SUMIF(Carico!$B$3:$B$975,B675,Carico!$C$3:$C$975)-(SUMIF(Scarico!$B$3:$B$997,B675,Scarico!$C$3:$C$997))+$D$4:$D$987</f>
        <v>0</v>
      </c>
      <c r="D675" s="59"/>
      <c r="E675" s="58"/>
      <c r="F675" s="69"/>
    </row>
    <row r="676" ht="15.75" customHeight="1">
      <c r="B676" s="65"/>
      <c r="C676" s="37">
        <f>SUMIF(Carico!$B$3:$B$975,B676,Carico!$C$3:$C$975)-(SUMIF(Scarico!$B$3:$B$997,B676,Scarico!$C$3:$C$997))+$D$4:$D$987</f>
        <v>0</v>
      </c>
      <c r="D676" s="59"/>
      <c r="E676" s="58"/>
      <c r="F676" s="69"/>
    </row>
    <row r="677" ht="15.75" customHeight="1">
      <c r="B677" s="65"/>
      <c r="C677" s="37">
        <f>SUMIF(Carico!$B$3:$B$975,B677,Carico!$C$3:$C$975)-(SUMIF(Scarico!$B$3:$B$997,B677,Scarico!$C$3:$C$997))+$D$4:$D$987</f>
        <v>0</v>
      </c>
      <c r="D677" s="59"/>
      <c r="E677" s="58"/>
      <c r="F677" s="69"/>
    </row>
    <row r="678" ht="15.75" customHeight="1">
      <c r="B678" s="65"/>
      <c r="C678" s="37">
        <f>SUMIF(Carico!$B$3:$B$975,B678,Carico!$C$3:$C$975)-(SUMIF(Scarico!$B$3:$B$997,B678,Scarico!$C$3:$C$997))+$D$4:$D$987</f>
        <v>0</v>
      </c>
      <c r="D678" s="59"/>
      <c r="E678" s="58"/>
      <c r="F678" s="69"/>
    </row>
    <row r="679" ht="15.75" customHeight="1">
      <c r="B679" s="65"/>
      <c r="C679" s="37">
        <f>SUMIF(Carico!$B$3:$B$975,B679,Carico!$C$3:$C$975)-(SUMIF(Scarico!$B$3:$B$997,B679,Scarico!$C$3:$C$997))+$D$4:$D$987</f>
        <v>0</v>
      </c>
      <c r="D679" s="59"/>
      <c r="E679" s="58"/>
      <c r="F679" s="69"/>
    </row>
    <row r="680" ht="15.75" customHeight="1">
      <c r="B680" s="65"/>
      <c r="C680" s="37">
        <f>SUMIF(Carico!$B$3:$B$975,B680,Carico!$C$3:$C$975)-(SUMIF(Scarico!$B$3:$B$997,B680,Scarico!$C$3:$C$997))+$D$4:$D$987</f>
        <v>0</v>
      </c>
      <c r="D680" s="59"/>
      <c r="E680" s="58"/>
      <c r="F680" s="69"/>
    </row>
    <row r="681" ht="15.75" customHeight="1">
      <c r="B681" s="65"/>
      <c r="C681" s="37">
        <f>SUMIF(Carico!$B$3:$B$975,B681,Carico!$C$3:$C$975)-(SUMIF(Scarico!$B$3:$B$997,B681,Scarico!$C$3:$C$997))+$D$4:$D$987</f>
        <v>0</v>
      </c>
      <c r="D681" s="59"/>
      <c r="E681" s="58"/>
      <c r="F681" s="69"/>
    </row>
    <row r="682" ht="15.75" customHeight="1">
      <c r="B682" s="65"/>
      <c r="C682" s="37">
        <f>SUMIF(Carico!$B$3:$B$975,B682,Carico!$C$3:$C$975)-(SUMIF(Scarico!$B$3:$B$997,B682,Scarico!$C$3:$C$997))+$D$4:$D$987</f>
        <v>0</v>
      </c>
      <c r="D682" s="59"/>
      <c r="E682" s="58"/>
      <c r="F682" s="69"/>
    </row>
    <row r="683" ht="15.75" customHeight="1">
      <c r="B683" s="65"/>
      <c r="C683" s="37">
        <f>SUMIF(Carico!$B$3:$B$975,B683,Carico!$C$3:$C$975)-(SUMIF(Scarico!$B$3:$B$997,B683,Scarico!$C$3:$C$997))+$D$4:$D$987</f>
        <v>0</v>
      </c>
      <c r="D683" s="59"/>
      <c r="E683" s="58"/>
      <c r="F683" s="69"/>
    </row>
    <row r="684" ht="15.75" customHeight="1">
      <c r="B684" s="65"/>
      <c r="C684" s="37">
        <f>SUMIF(Carico!$B$3:$B$975,B684,Carico!$C$3:$C$975)-(SUMIF(Scarico!$B$3:$B$997,B684,Scarico!$C$3:$C$997))+$D$4:$D$987</f>
        <v>0</v>
      </c>
      <c r="D684" s="59"/>
      <c r="E684" s="58"/>
      <c r="F684" s="69"/>
    </row>
    <row r="685" ht="15.75" customHeight="1">
      <c r="B685" s="65"/>
      <c r="C685" s="37">
        <f>SUMIF(Carico!$B$3:$B$975,B685,Carico!$C$3:$C$975)-(SUMIF(Scarico!$B$3:$B$997,B685,Scarico!$C$3:$C$997))+$D$4:$D$987</f>
        <v>0</v>
      </c>
      <c r="D685" s="59"/>
      <c r="E685" s="58"/>
      <c r="F685" s="69"/>
    </row>
    <row r="686" ht="15.75" customHeight="1">
      <c r="B686" s="65"/>
      <c r="C686" s="37">
        <f>SUMIF(Carico!$B$3:$B$975,B686,Carico!$C$3:$C$975)-(SUMIF(Scarico!$B$3:$B$997,B686,Scarico!$C$3:$C$997))+$D$4:$D$987</f>
        <v>0</v>
      </c>
      <c r="D686" s="59"/>
      <c r="E686" s="58"/>
      <c r="F686" s="69"/>
    </row>
    <row r="687" ht="15.75" customHeight="1">
      <c r="B687" s="65"/>
      <c r="C687" s="37">
        <f>SUMIF(Carico!$B$3:$B$975,B687,Carico!$C$3:$C$975)-(SUMIF(Scarico!$B$3:$B$997,B687,Scarico!$C$3:$C$997))+$D$4:$D$987</f>
        <v>0</v>
      </c>
      <c r="D687" s="59"/>
      <c r="E687" s="58"/>
      <c r="F687" s="69"/>
    </row>
    <row r="688" ht="15.75" customHeight="1">
      <c r="B688" s="65"/>
      <c r="C688" s="37">
        <f>SUMIF(Carico!$B$3:$B$975,B688,Carico!$C$3:$C$975)-(SUMIF(Scarico!$B$3:$B$997,B688,Scarico!$C$3:$C$997))+$D$4:$D$987</f>
        <v>0</v>
      </c>
      <c r="D688" s="59"/>
      <c r="E688" s="58"/>
      <c r="F688" s="69"/>
    </row>
    <row r="689" ht="15.75" customHeight="1">
      <c r="B689" s="65"/>
      <c r="C689" s="37">
        <f>SUMIF(Carico!$B$3:$B$975,B689,Carico!$C$3:$C$975)-(SUMIF(Scarico!$B$3:$B$997,B689,Scarico!$C$3:$C$997))+$D$4:$D$987</f>
        <v>0</v>
      </c>
      <c r="D689" s="59"/>
      <c r="E689" s="58"/>
      <c r="F689" s="69"/>
    </row>
    <row r="690" ht="15.75" customHeight="1">
      <c r="B690" s="65"/>
      <c r="C690" s="37">
        <f>SUMIF(Carico!$B$3:$B$975,B690,Carico!$C$3:$C$975)-(SUMIF(Scarico!$B$3:$B$997,B690,Scarico!$C$3:$C$997))+$D$4:$D$987</f>
        <v>0</v>
      </c>
      <c r="D690" s="59"/>
      <c r="E690" s="58"/>
      <c r="F690" s="69"/>
    </row>
    <row r="691" ht="15.75" customHeight="1">
      <c r="B691" s="65"/>
      <c r="C691" s="37">
        <f>SUMIF(Carico!$B$3:$B$975,B691,Carico!$C$3:$C$975)-(SUMIF(Scarico!$B$3:$B$997,B691,Scarico!$C$3:$C$997))+$D$4:$D$987</f>
        <v>0</v>
      </c>
      <c r="D691" s="59"/>
      <c r="E691" s="58"/>
      <c r="F691" s="69"/>
    </row>
    <row r="692" ht="15.75" customHeight="1">
      <c r="B692" s="65"/>
      <c r="C692" s="37">
        <f>SUMIF(Carico!$B$3:$B$975,B692,Carico!$C$3:$C$975)-(SUMIF(Scarico!$B$3:$B$997,B692,Scarico!$C$3:$C$997))+$D$4:$D$987</f>
        <v>0</v>
      </c>
      <c r="D692" s="59"/>
      <c r="E692" s="58"/>
      <c r="F692" s="69"/>
    </row>
    <row r="693" ht="15.75" customHeight="1">
      <c r="B693" s="65"/>
      <c r="C693" s="37">
        <f>SUMIF(Carico!$B$3:$B$975,B693,Carico!$C$3:$C$975)-(SUMIF(Scarico!$B$3:$B$997,B693,Scarico!$C$3:$C$997))+$D$4:$D$987</f>
        <v>0</v>
      </c>
      <c r="D693" s="59"/>
      <c r="E693" s="58"/>
      <c r="F693" s="69"/>
    </row>
    <row r="694" ht="15.75" customHeight="1">
      <c r="B694" s="65"/>
      <c r="C694" s="37">
        <f>SUMIF(Carico!$B$3:$B$975,B694,Carico!$C$3:$C$975)-(SUMIF(Scarico!$B$3:$B$997,B694,Scarico!$C$3:$C$997))+$D$4:$D$987</f>
        <v>0</v>
      </c>
      <c r="D694" s="59"/>
      <c r="E694" s="58"/>
      <c r="F694" s="69"/>
    </row>
    <row r="695" ht="15.75" customHeight="1">
      <c r="B695" s="65"/>
      <c r="C695" s="37">
        <f>SUMIF(Carico!$B$3:$B$975,B695,Carico!$C$3:$C$975)-(SUMIF(Scarico!$B$3:$B$997,B695,Scarico!$C$3:$C$997))+$D$4:$D$987</f>
        <v>0</v>
      </c>
      <c r="D695" s="59"/>
      <c r="E695" s="58"/>
      <c r="F695" s="69"/>
    </row>
    <row r="696" ht="15.75" customHeight="1">
      <c r="B696" s="65"/>
      <c r="C696" s="37">
        <f>SUMIF(Carico!$B$3:$B$975,B696,Carico!$C$3:$C$975)-(SUMIF(Scarico!$B$3:$B$997,B696,Scarico!$C$3:$C$997))+$D$4:$D$987</f>
        <v>0</v>
      </c>
      <c r="D696" s="59"/>
      <c r="E696" s="58"/>
      <c r="F696" s="69"/>
    </row>
    <row r="697" ht="15.75" customHeight="1">
      <c r="B697" s="65"/>
      <c r="C697" s="37">
        <f>SUMIF(Carico!$B$3:$B$975,B697,Carico!$C$3:$C$975)-(SUMIF(Scarico!$B$3:$B$997,B697,Scarico!$C$3:$C$997))+$D$4:$D$987</f>
        <v>0</v>
      </c>
      <c r="D697" s="59"/>
      <c r="E697" s="58"/>
      <c r="F697" s="69"/>
    </row>
    <row r="698" ht="15.75" customHeight="1">
      <c r="B698" s="65"/>
      <c r="C698" s="37">
        <f>SUMIF(Carico!$B$3:$B$975,B698,Carico!$C$3:$C$975)-(SUMIF(Scarico!$B$3:$B$997,B698,Scarico!$C$3:$C$997))+$D$4:$D$987</f>
        <v>0</v>
      </c>
      <c r="D698" s="59"/>
      <c r="E698" s="58"/>
      <c r="F698" s="69"/>
    </row>
    <row r="699" ht="15.75" customHeight="1">
      <c r="B699" s="65"/>
      <c r="C699" s="37">
        <f>SUMIF(Carico!$B$3:$B$975,B699,Carico!$C$3:$C$975)-(SUMIF(Scarico!$B$3:$B$997,B699,Scarico!$C$3:$C$997))+$D$4:$D$987</f>
        <v>0</v>
      </c>
      <c r="D699" s="59"/>
      <c r="E699" s="58"/>
      <c r="F699" s="69"/>
    </row>
    <row r="700" ht="15.75" customHeight="1">
      <c r="B700" s="65"/>
      <c r="C700" s="37">
        <f>SUMIF(Carico!$B$3:$B$975,B700,Carico!$C$3:$C$975)-(SUMIF(Scarico!$B$3:$B$997,B700,Scarico!$C$3:$C$997))+$D$4:$D$987</f>
        <v>0</v>
      </c>
      <c r="D700" s="59"/>
      <c r="E700" s="58"/>
      <c r="F700" s="69"/>
    </row>
    <row r="701" ht="15.75" customHeight="1">
      <c r="B701" s="65"/>
      <c r="C701" s="37">
        <f>SUMIF(Carico!$B$3:$B$975,B701,Carico!$C$3:$C$975)-(SUMIF(Scarico!$B$3:$B$997,B701,Scarico!$C$3:$C$997))+$D$4:$D$987</f>
        <v>0</v>
      </c>
      <c r="D701" s="59"/>
      <c r="E701" s="58"/>
      <c r="F701" s="69"/>
    </row>
    <row r="702" ht="15.75" customHeight="1">
      <c r="B702" s="65"/>
      <c r="C702" s="37">
        <f>SUMIF(Carico!$B$3:$B$975,B702,Carico!$C$3:$C$975)-(SUMIF(Scarico!$B$3:$B$997,B702,Scarico!$C$3:$C$997))+$D$4:$D$987</f>
        <v>0</v>
      </c>
      <c r="D702" s="59"/>
      <c r="E702" s="58"/>
      <c r="F702" s="69"/>
    </row>
    <row r="703" ht="15.75" customHeight="1">
      <c r="B703" s="65"/>
      <c r="C703" s="37">
        <f>SUMIF(Carico!$B$3:$B$975,B703,Carico!$C$3:$C$975)-(SUMIF(Scarico!$B$3:$B$997,B703,Scarico!$C$3:$C$997))+$D$4:$D$987</f>
        <v>0</v>
      </c>
      <c r="D703" s="59"/>
      <c r="E703" s="58"/>
      <c r="F703" s="69"/>
    </row>
    <row r="704" ht="15.75" customHeight="1">
      <c r="B704" s="65"/>
      <c r="C704" s="37">
        <f>SUMIF(Carico!$B$3:$B$975,B704,Carico!$C$3:$C$975)-(SUMIF(Scarico!$B$3:$B$997,B704,Scarico!$C$3:$C$997))+$D$4:$D$987</f>
        <v>0</v>
      </c>
      <c r="D704" s="59"/>
      <c r="E704" s="58"/>
      <c r="F704" s="69"/>
    </row>
    <row r="705" ht="15.75" customHeight="1">
      <c r="B705" s="65"/>
      <c r="C705" s="37">
        <f>SUMIF(Carico!$B$3:$B$975,B705,Carico!$C$3:$C$975)-(SUMIF(Scarico!$B$3:$B$997,B705,Scarico!$C$3:$C$997))+$D$4:$D$987</f>
        <v>0</v>
      </c>
      <c r="D705" s="59"/>
      <c r="E705" s="58"/>
      <c r="F705" s="69"/>
    </row>
    <row r="706" ht="15.75" customHeight="1">
      <c r="B706" s="65"/>
      <c r="C706" s="37">
        <f>SUMIF(Carico!$B$3:$B$975,B706,Carico!$C$3:$C$975)-(SUMIF(Scarico!$B$3:$B$997,B706,Scarico!$C$3:$C$997))+$D$4:$D$987</f>
        <v>0</v>
      </c>
      <c r="D706" s="59"/>
      <c r="E706" s="58"/>
      <c r="F706" s="69"/>
    </row>
    <row r="707" ht="15.75" customHeight="1">
      <c r="B707" s="65"/>
      <c r="C707" s="37">
        <f>SUMIF(Carico!$B$3:$B$975,B707,Carico!$C$3:$C$975)-(SUMIF(Scarico!$B$3:$B$997,B707,Scarico!$C$3:$C$997))+$D$4:$D$987</f>
        <v>0</v>
      </c>
      <c r="D707" s="59"/>
      <c r="E707" s="58"/>
      <c r="F707" s="69"/>
    </row>
    <row r="708" ht="15.75" customHeight="1">
      <c r="B708" s="65"/>
      <c r="C708" s="37">
        <f>SUMIF(Carico!$B$3:$B$975,B708,Carico!$C$3:$C$975)-(SUMIF(Scarico!$B$3:$B$997,B708,Scarico!$C$3:$C$997))+$D$4:$D$987</f>
        <v>0</v>
      </c>
      <c r="D708" s="59"/>
      <c r="E708" s="58"/>
      <c r="F708" s="69"/>
    </row>
    <row r="709" ht="15.75" customHeight="1">
      <c r="B709" s="65"/>
      <c r="C709" s="37">
        <f>SUMIF(Carico!$B$3:$B$975,B709,Carico!$C$3:$C$975)-(SUMIF(Scarico!$B$3:$B$997,B709,Scarico!$C$3:$C$997))+$D$4:$D$987</f>
        <v>0</v>
      </c>
      <c r="D709" s="59"/>
      <c r="E709" s="58"/>
      <c r="F709" s="69"/>
    </row>
    <row r="710" ht="15.75" customHeight="1">
      <c r="B710" s="65"/>
      <c r="C710" s="37">
        <f>SUMIF(Carico!$B$3:$B$975,B710,Carico!$C$3:$C$975)-(SUMIF(Scarico!$B$3:$B$997,B710,Scarico!$C$3:$C$997))+$D$4:$D$987</f>
        <v>0</v>
      </c>
      <c r="D710" s="59"/>
      <c r="E710" s="58"/>
      <c r="F710" s="69"/>
    </row>
    <row r="711" ht="15.75" customHeight="1">
      <c r="B711" s="65"/>
      <c r="C711" s="37">
        <f>SUMIF(Carico!$B$3:$B$975,B711,Carico!$C$3:$C$975)-(SUMIF(Scarico!$B$3:$B$997,B711,Scarico!$C$3:$C$997))+$D$4:$D$987</f>
        <v>0</v>
      </c>
      <c r="D711" s="59"/>
      <c r="E711" s="58"/>
      <c r="F711" s="69"/>
    </row>
    <row r="712" ht="15.75" customHeight="1">
      <c r="B712" s="65"/>
      <c r="C712" s="37">
        <f>SUMIF(Carico!$B$3:$B$975,B712,Carico!$C$3:$C$975)-(SUMIF(Scarico!$B$3:$B$997,B712,Scarico!$C$3:$C$997))+$D$4:$D$987</f>
        <v>0</v>
      </c>
      <c r="D712" s="59"/>
      <c r="E712" s="58"/>
      <c r="F712" s="69"/>
    </row>
    <row r="713" ht="15.75" customHeight="1">
      <c r="B713" s="65"/>
      <c r="C713" s="37">
        <f>SUMIF(Carico!$B$3:$B$975,B713,Carico!$C$3:$C$975)-(SUMIF(Scarico!$B$3:$B$997,B713,Scarico!$C$3:$C$997))+$D$4:$D$987</f>
        <v>0</v>
      </c>
      <c r="D713" s="59"/>
      <c r="E713" s="58"/>
      <c r="F713" s="69"/>
    </row>
    <row r="714" ht="15.75" customHeight="1">
      <c r="B714" s="65"/>
      <c r="C714" s="37">
        <f>SUMIF(Carico!$B$3:$B$975,B714,Carico!$C$3:$C$975)-(SUMIF(Scarico!$B$3:$B$997,B714,Scarico!$C$3:$C$997))+$D$4:$D$987</f>
        <v>0</v>
      </c>
      <c r="D714" s="59"/>
      <c r="E714" s="58"/>
      <c r="F714" s="69"/>
    </row>
    <row r="715" ht="15.75" customHeight="1">
      <c r="B715" s="65"/>
      <c r="C715" s="37">
        <f>SUMIF(Carico!$B$3:$B$975,B715,Carico!$C$3:$C$975)-(SUMIF(Scarico!$B$3:$B$997,B715,Scarico!$C$3:$C$997))+$D$4:$D$987</f>
        <v>0</v>
      </c>
      <c r="D715" s="59"/>
      <c r="E715" s="58"/>
      <c r="F715" s="69"/>
    </row>
    <row r="716" ht="15.75" customHeight="1">
      <c r="B716" s="65"/>
      <c r="C716" s="37">
        <f>SUMIF(Carico!$B$3:$B$975,B716,Carico!$C$3:$C$975)-(SUMIF(Scarico!$B$3:$B$997,B716,Scarico!$C$3:$C$997))+$D$4:$D$987</f>
        <v>0</v>
      </c>
      <c r="D716" s="59"/>
      <c r="E716" s="58"/>
      <c r="F716" s="69"/>
    </row>
    <row r="717" ht="15.75" customHeight="1">
      <c r="B717" s="65"/>
      <c r="C717" s="37">
        <f>SUMIF(Carico!$B$3:$B$975,B717,Carico!$C$3:$C$975)-(SUMIF(Scarico!$B$3:$B$997,B717,Scarico!$C$3:$C$997))+$D$4:$D$987</f>
        <v>0</v>
      </c>
      <c r="D717" s="59"/>
      <c r="E717" s="58"/>
      <c r="F717" s="69"/>
    </row>
    <row r="718" ht="15.75" customHeight="1">
      <c r="B718" s="65"/>
      <c r="C718" s="37">
        <f>SUMIF(Carico!$B$3:$B$975,B718,Carico!$C$3:$C$975)-(SUMIF(Scarico!$B$3:$B$997,B718,Scarico!$C$3:$C$997))+$D$4:$D$987</f>
        <v>0</v>
      </c>
      <c r="D718" s="59"/>
      <c r="E718" s="58"/>
      <c r="F718" s="69"/>
    </row>
    <row r="719" ht="15.75" customHeight="1">
      <c r="B719" s="65"/>
      <c r="C719" s="37">
        <f>SUMIF(Carico!$B$3:$B$975,B719,Carico!$C$3:$C$975)-(SUMIF(Scarico!$B$3:$B$997,B719,Scarico!$C$3:$C$997))+$D$4:$D$987</f>
        <v>0</v>
      </c>
      <c r="D719" s="59"/>
      <c r="E719" s="58"/>
      <c r="F719" s="69"/>
    </row>
    <row r="720" ht="15.75" customHeight="1">
      <c r="B720" s="65"/>
      <c r="C720" s="37">
        <f>SUMIF(Carico!$B$3:$B$975,B720,Carico!$C$3:$C$975)-(SUMIF(Scarico!$B$3:$B$997,B720,Scarico!$C$3:$C$997))+$D$4:$D$987</f>
        <v>0</v>
      </c>
      <c r="D720" s="59"/>
      <c r="E720" s="58"/>
      <c r="F720" s="69"/>
    </row>
    <row r="721" ht="15.75" customHeight="1">
      <c r="B721" s="65"/>
      <c r="C721" s="37">
        <f>SUMIF(Carico!$B$3:$B$975,B721,Carico!$C$3:$C$975)-(SUMIF(Scarico!$B$3:$B$997,B721,Scarico!$C$3:$C$997))+$D$4:$D$987</f>
        <v>0</v>
      </c>
      <c r="D721" s="59"/>
      <c r="E721" s="58"/>
      <c r="F721" s="69"/>
    </row>
    <row r="722" ht="15.75" customHeight="1">
      <c r="B722" s="65"/>
      <c r="C722" s="37">
        <f>SUMIF(Carico!$B$3:$B$975,B722,Carico!$C$3:$C$975)-(SUMIF(Scarico!$B$3:$B$997,B722,Scarico!$C$3:$C$997))+$D$4:$D$987</f>
        <v>0</v>
      </c>
      <c r="D722" s="59"/>
      <c r="E722" s="58"/>
      <c r="F722" s="69"/>
    </row>
    <row r="723" ht="15.75" customHeight="1">
      <c r="B723" s="65"/>
      <c r="C723" s="37">
        <f>SUMIF(Carico!$B$3:$B$975,B723,Carico!$C$3:$C$975)-(SUMIF(Scarico!$B$3:$B$997,B723,Scarico!$C$3:$C$997))+$D$4:$D$987</f>
        <v>0</v>
      </c>
      <c r="D723" s="59"/>
      <c r="E723" s="58"/>
      <c r="F723" s="69"/>
    </row>
    <row r="724" ht="15.75" customHeight="1">
      <c r="B724" s="65"/>
      <c r="C724" s="37">
        <f>SUMIF(Carico!$B$3:$B$975,B724,Carico!$C$3:$C$975)-(SUMIF(Scarico!$B$3:$B$997,B724,Scarico!$C$3:$C$997))+$D$4:$D$987</f>
        <v>0</v>
      </c>
      <c r="D724" s="59"/>
      <c r="E724" s="58"/>
      <c r="F724" s="69"/>
    </row>
    <row r="725" ht="15.75" customHeight="1">
      <c r="B725" s="65"/>
      <c r="C725" s="37">
        <f>SUMIF(Carico!$B$3:$B$975,B725,Carico!$C$3:$C$975)-(SUMIF(Scarico!$B$3:$B$997,B725,Scarico!$C$3:$C$997))+$D$4:$D$987</f>
        <v>0</v>
      </c>
      <c r="D725" s="59"/>
      <c r="E725" s="58"/>
      <c r="F725" s="69"/>
    </row>
    <row r="726" ht="15.75" customHeight="1">
      <c r="B726" s="65"/>
      <c r="C726" s="37">
        <f>SUMIF(Carico!$B$3:$B$975,B726,Carico!$C$3:$C$975)-(SUMIF(Scarico!$B$3:$B$997,B726,Scarico!$C$3:$C$997))+$D$4:$D$987</f>
        <v>0</v>
      </c>
      <c r="D726" s="59"/>
      <c r="E726" s="58"/>
      <c r="F726" s="69"/>
    </row>
    <row r="727" ht="15.75" customHeight="1">
      <c r="B727" s="65"/>
      <c r="C727" s="37">
        <f>SUMIF(Carico!$B$3:$B$975,B727,Carico!$C$3:$C$975)-(SUMIF(Scarico!$B$3:$B$997,B727,Scarico!$C$3:$C$997))+$D$4:$D$987</f>
        <v>0</v>
      </c>
      <c r="D727" s="59"/>
      <c r="E727" s="58"/>
      <c r="F727" s="69"/>
    </row>
    <row r="728" ht="15.75" customHeight="1">
      <c r="B728" s="65"/>
      <c r="C728" s="37">
        <f>SUMIF(Carico!$B$3:$B$975,B728,Carico!$C$3:$C$975)-(SUMIF(Scarico!$B$3:$B$997,B728,Scarico!$C$3:$C$997))+$D$4:$D$987</f>
        <v>0</v>
      </c>
      <c r="D728" s="59"/>
      <c r="E728" s="58"/>
      <c r="F728" s="69"/>
    </row>
    <row r="729" ht="15.75" customHeight="1">
      <c r="B729" s="65"/>
      <c r="C729" s="37">
        <f>SUMIF(Carico!$B$3:$B$975,B729,Carico!$C$3:$C$975)-(SUMIF(Scarico!$B$3:$B$997,B729,Scarico!$C$3:$C$997))+$D$4:$D$987</f>
        <v>0</v>
      </c>
      <c r="D729" s="59"/>
      <c r="E729" s="58"/>
      <c r="F729" s="69"/>
    </row>
    <row r="730" ht="15.75" customHeight="1">
      <c r="B730" s="65"/>
      <c r="C730" s="37">
        <f>SUMIF(Carico!$B$3:$B$975,B730,Carico!$C$3:$C$975)-(SUMIF(Scarico!$B$3:$B$997,B730,Scarico!$C$3:$C$997))+$D$4:$D$987</f>
        <v>0</v>
      </c>
      <c r="D730" s="59"/>
      <c r="E730" s="58"/>
      <c r="F730" s="69"/>
    </row>
    <row r="731" ht="15.75" customHeight="1">
      <c r="B731" s="65"/>
      <c r="C731" s="37">
        <f>SUMIF(Carico!$B$3:$B$975,B731,Carico!$C$3:$C$975)-(SUMIF(Scarico!$B$3:$B$997,B731,Scarico!$C$3:$C$997))+$D$4:$D$987</f>
        <v>0</v>
      </c>
      <c r="D731" s="59"/>
      <c r="E731" s="58"/>
      <c r="F731" s="69"/>
    </row>
    <row r="732" ht="15.75" customHeight="1">
      <c r="B732" s="65"/>
      <c r="C732" s="37">
        <f>SUMIF(Carico!$B$3:$B$975,B732,Carico!$C$3:$C$975)-(SUMIF(Scarico!$B$3:$B$997,B732,Scarico!$C$3:$C$997))+$D$4:$D$987</f>
        <v>0</v>
      </c>
      <c r="D732" s="59"/>
      <c r="E732" s="58"/>
      <c r="F732" s="69"/>
    </row>
    <row r="733" ht="15.75" customHeight="1">
      <c r="B733" s="65"/>
      <c r="C733" s="37">
        <f>SUMIF(Carico!$B$3:$B$975,B733,Carico!$C$3:$C$975)-(SUMIF(Scarico!$B$3:$B$997,B733,Scarico!$C$3:$C$997))+$D$4:$D$987</f>
        <v>0</v>
      </c>
      <c r="D733" s="59"/>
      <c r="E733" s="58"/>
      <c r="F733" s="69"/>
    </row>
    <row r="734" ht="15.75" customHeight="1">
      <c r="B734" s="65"/>
      <c r="C734" s="37">
        <f>SUMIF(Carico!$B$3:$B$975,B734,Carico!$C$3:$C$975)-(SUMIF(Scarico!$B$3:$B$997,B734,Scarico!$C$3:$C$997))+$D$4:$D$987</f>
        <v>0</v>
      </c>
      <c r="D734" s="59"/>
      <c r="E734" s="58"/>
      <c r="F734" s="69"/>
    </row>
    <row r="735" ht="15.75" customHeight="1">
      <c r="B735" s="65"/>
      <c r="C735" s="37">
        <f>SUMIF(Carico!$B$3:$B$975,B735,Carico!$C$3:$C$975)-(SUMIF(Scarico!$B$3:$B$997,B735,Scarico!$C$3:$C$997))+$D$4:$D$987</f>
        <v>0</v>
      </c>
      <c r="D735" s="59"/>
      <c r="E735" s="58"/>
      <c r="F735" s="69"/>
    </row>
    <row r="736" ht="15.75" customHeight="1">
      <c r="B736" s="65"/>
      <c r="C736" s="37">
        <f>SUMIF(Carico!$B$3:$B$975,B736,Carico!$C$3:$C$975)-(SUMIF(Scarico!$B$3:$B$997,B736,Scarico!$C$3:$C$997))+$D$4:$D$987</f>
        <v>0</v>
      </c>
      <c r="D736" s="59"/>
      <c r="E736" s="58"/>
      <c r="F736" s="69"/>
    </row>
    <row r="737" ht="15.75" customHeight="1">
      <c r="B737" s="65"/>
      <c r="C737" s="37">
        <f>SUMIF(Carico!$B$3:$B$975,B737,Carico!$C$3:$C$975)-(SUMIF(Scarico!$B$3:$B$997,B737,Scarico!$C$3:$C$997))+$D$4:$D$987</f>
        <v>0</v>
      </c>
      <c r="D737" s="59"/>
      <c r="E737" s="58"/>
      <c r="F737" s="69"/>
    </row>
    <row r="738" ht="15.75" customHeight="1">
      <c r="B738" s="65"/>
      <c r="C738" s="37">
        <f>SUMIF(Carico!$B$3:$B$975,B738,Carico!$C$3:$C$975)-(SUMIF(Scarico!$B$3:$B$997,B738,Scarico!$C$3:$C$997))+$D$4:$D$987</f>
        <v>0</v>
      </c>
      <c r="D738" s="59"/>
      <c r="E738" s="58"/>
      <c r="F738" s="69"/>
    </row>
    <row r="739" ht="15.75" customHeight="1">
      <c r="B739" s="65"/>
      <c r="C739" s="37">
        <f>SUMIF(Carico!$B$3:$B$975,B739,Carico!$C$3:$C$975)-(SUMIF(Scarico!$B$3:$B$997,B739,Scarico!$C$3:$C$997))+$D$4:$D$987</f>
        <v>0</v>
      </c>
      <c r="D739" s="59"/>
      <c r="E739" s="58"/>
      <c r="F739" s="69"/>
    </row>
    <row r="740" ht="15.75" customHeight="1">
      <c r="B740" s="65"/>
      <c r="C740" s="37">
        <f>SUMIF(Carico!$B$3:$B$975,B740,Carico!$C$3:$C$975)-(SUMIF(Scarico!$B$3:$B$997,B740,Scarico!$C$3:$C$997))+$D$4:$D$987</f>
        <v>0</v>
      </c>
      <c r="D740" s="59"/>
      <c r="E740" s="58"/>
      <c r="F740" s="69"/>
    </row>
    <row r="741" ht="15.75" customHeight="1">
      <c r="B741" s="65"/>
      <c r="C741" s="37">
        <f>SUMIF(Carico!$B$3:$B$975,B741,Carico!$C$3:$C$975)-(SUMIF(Scarico!$B$3:$B$997,B741,Scarico!$C$3:$C$997))+$D$4:$D$987</f>
        <v>0</v>
      </c>
      <c r="D741" s="59"/>
      <c r="E741" s="58"/>
      <c r="F741" s="69"/>
    </row>
    <row r="742" ht="15.75" customHeight="1">
      <c r="B742" s="65"/>
      <c r="C742" s="37">
        <f>SUMIF(Carico!$B$3:$B$975,B742,Carico!$C$3:$C$975)-(SUMIF(Scarico!$B$3:$B$997,B742,Scarico!$C$3:$C$997))+$D$4:$D$987</f>
        <v>0</v>
      </c>
      <c r="D742" s="59"/>
      <c r="E742" s="58"/>
      <c r="F742" s="69"/>
    </row>
    <row r="743" ht="15.75" customHeight="1">
      <c r="B743" s="65"/>
      <c r="C743" s="37">
        <f>SUMIF(Carico!$B$3:$B$975,B743,Carico!$C$3:$C$975)-(SUMIF(Scarico!$B$3:$B$997,B743,Scarico!$C$3:$C$997))+$D$4:$D$987</f>
        <v>0</v>
      </c>
      <c r="D743" s="59"/>
      <c r="E743" s="58"/>
      <c r="F743" s="69"/>
    </row>
    <row r="744" ht="15.75" customHeight="1">
      <c r="B744" s="65"/>
      <c r="C744" s="37">
        <f>SUMIF(Carico!$B$3:$B$975,B744,Carico!$C$3:$C$975)-(SUMIF(Scarico!$B$3:$B$997,B744,Scarico!$C$3:$C$997))+$D$4:$D$987</f>
        <v>0</v>
      </c>
      <c r="D744" s="59"/>
      <c r="E744" s="58"/>
      <c r="F744" s="69"/>
    </row>
    <row r="745" ht="15.75" customHeight="1">
      <c r="B745" s="65"/>
      <c r="C745" s="37">
        <f>SUMIF(Carico!$B$3:$B$975,B745,Carico!$C$3:$C$975)-(SUMIF(Scarico!$B$3:$B$997,B745,Scarico!$C$3:$C$997))+$D$4:$D$987</f>
        <v>0</v>
      </c>
      <c r="D745" s="59"/>
      <c r="E745" s="58"/>
      <c r="F745" s="69"/>
    </row>
    <row r="746" ht="15.75" customHeight="1">
      <c r="B746" s="65"/>
      <c r="C746" s="37">
        <f>SUMIF(Carico!$B$3:$B$975,B746,Carico!$C$3:$C$975)-(SUMIF(Scarico!$B$3:$B$997,B746,Scarico!$C$3:$C$997))+$D$4:$D$987</f>
        <v>0</v>
      </c>
      <c r="D746" s="59"/>
      <c r="E746" s="58"/>
      <c r="F746" s="69"/>
    </row>
    <row r="747" ht="15.75" customHeight="1">
      <c r="B747" s="65"/>
      <c r="C747" s="37">
        <f>SUMIF(Carico!$B$3:$B$975,B747,Carico!$C$3:$C$975)-(SUMIF(Scarico!$B$3:$B$997,B747,Scarico!$C$3:$C$997))+$D$4:$D$987</f>
        <v>0</v>
      </c>
      <c r="D747" s="59"/>
      <c r="E747" s="58"/>
      <c r="F747" s="69"/>
    </row>
    <row r="748" ht="15.75" customHeight="1">
      <c r="B748" s="65"/>
      <c r="C748" s="37">
        <f>SUMIF(Carico!$B$3:$B$975,B748,Carico!$C$3:$C$975)-(SUMIF(Scarico!$B$3:$B$997,B748,Scarico!$C$3:$C$997))+$D$4:$D$987</f>
        <v>0</v>
      </c>
      <c r="D748" s="59"/>
      <c r="E748" s="58"/>
      <c r="F748" s="69"/>
    </row>
    <row r="749" ht="15.75" customHeight="1">
      <c r="B749" s="65"/>
      <c r="C749" s="37">
        <f>SUMIF(Carico!$B$3:$B$975,B749,Carico!$C$3:$C$975)-(SUMIF(Scarico!$B$3:$B$997,B749,Scarico!$C$3:$C$997))+$D$4:$D$987</f>
        <v>0</v>
      </c>
      <c r="D749" s="59"/>
      <c r="E749" s="58"/>
      <c r="F749" s="69"/>
    </row>
    <row r="750" ht="15.75" customHeight="1">
      <c r="B750" s="65"/>
      <c r="C750" s="37">
        <f>SUMIF(Carico!$B$3:$B$975,B750,Carico!$C$3:$C$975)-(SUMIF(Scarico!$B$3:$B$997,B750,Scarico!$C$3:$C$997))+$D$4:$D$987</f>
        <v>0</v>
      </c>
      <c r="D750" s="59"/>
      <c r="E750" s="58"/>
      <c r="F750" s="69"/>
    </row>
    <row r="751" ht="15.75" customHeight="1">
      <c r="B751" s="65"/>
      <c r="C751" s="37">
        <f>SUMIF(Carico!$B$3:$B$975,B751,Carico!$C$3:$C$975)-(SUMIF(Scarico!$B$3:$B$997,B751,Scarico!$C$3:$C$997))+$D$4:$D$987</f>
        <v>0</v>
      </c>
      <c r="D751" s="59"/>
      <c r="E751" s="58"/>
      <c r="F751" s="69"/>
    </row>
    <row r="752" ht="15.75" customHeight="1">
      <c r="B752" s="65"/>
      <c r="C752" s="37">
        <f>SUMIF(Carico!$B$3:$B$975,B752,Carico!$C$3:$C$975)-(SUMIF(Scarico!$B$3:$B$997,B752,Scarico!$C$3:$C$997))+$D$4:$D$987</f>
        <v>0</v>
      </c>
      <c r="D752" s="59"/>
      <c r="E752" s="58"/>
      <c r="F752" s="69"/>
    </row>
    <row r="753" ht="15.75" customHeight="1">
      <c r="B753" s="65"/>
      <c r="C753" s="37">
        <f>SUMIF(Carico!$B$3:$B$975,B753,Carico!$C$3:$C$975)-(SUMIF(Scarico!$B$3:$B$997,B753,Scarico!$C$3:$C$997))+$D$4:$D$987</f>
        <v>0</v>
      </c>
      <c r="D753" s="59"/>
      <c r="E753" s="58"/>
      <c r="F753" s="69"/>
    </row>
    <row r="754" ht="15.75" customHeight="1">
      <c r="B754" s="65"/>
      <c r="C754" s="37">
        <f>SUMIF(Carico!$B$3:$B$975,B754,Carico!$C$3:$C$975)-(SUMIF(Scarico!$B$3:$B$997,B754,Scarico!$C$3:$C$997))+$D$4:$D$987</f>
        <v>0</v>
      </c>
      <c r="D754" s="59"/>
      <c r="E754" s="58"/>
      <c r="F754" s="69"/>
    </row>
    <row r="755" ht="15.75" customHeight="1">
      <c r="B755" s="65"/>
      <c r="C755" s="37">
        <f>SUMIF(Carico!$B$3:$B$975,B755,Carico!$C$3:$C$975)-(SUMIF(Scarico!$B$3:$B$997,B755,Scarico!$C$3:$C$997))+$D$4:$D$987</f>
        <v>0</v>
      </c>
      <c r="D755" s="59"/>
      <c r="E755" s="58"/>
      <c r="F755" s="69"/>
    </row>
    <row r="756" ht="15.75" customHeight="1">
      <c r="B756" s="65"/>
      <c r="C756" s="37">
        <f>SUMIF(Carico!$B$3:$B$975,B756,Carico!$C$3:$C$975)-(SUMIF(Scarico!$B$3:$B$997,B756,Scarico!$C$3:$C$997))+$D$4:$D$987</f>
        <v>0</v>
      </c>
      <c r="D756" s="59"/>
      <c r="E756" s="58"/>
      <c r="F756" s="69"/>
    </row>
    <row r="757" ht="15.75" customHeight="1">
      <c r="B757" s="65"/>
      <c r="C757" s="37">
        <f>SUMIF(Carico!$B$3:$B$975,B757,Carico!$C$3:$C$975)-(SUMIF(Scarico!$B$3:$B$997,B757,Scarico!$C$3:$C$997))+$D$4:$D$987</f>
        <v>0</v>
      </c>
      <c r="D757" s="59"/>
      <c r="E757" s="58"/>
      <c r="F757" s="69"/>
    </row>
    <row r="758" ht="15.75" customHeight="1">
      <c r="B758" s="65"/>
      <c r="C758" s="37">
        <f>SUMIF(Carico!$B$3:$B$975,B758,Carico!$C$3:$C$975)-(SUMIF(Scarico!$B$3:$B$997,B758,Scarico!$C$3:$C$997))+$D$4:$D$987</f>
        <v>0</v>
      </c>
      <c r="D758" s="59"/>
      <c r="E758" s="58"/>
      <c r="F758" s="69"/>
    </row>
    <row r="759" ht="15.75" customHeight="1">
      <c r="B759" s="65"/>
      <c r="C759" s="37">
        <f>SUMIF(Carico!$B$3:$B$975,B759,Carico!$C$3:$C$975)-(SUMIF(Scarico!$B$3:$B$997,B759,Scarico!$C$3:$C$997))+$D$4:$D$987</f>
        <v>0</v>
      </c>
      <c r="D759" s="59"/>
      <c r="E759" s="58"/>
      <c r="F759" s="69"/>
    </row>
    <row r="760" ht="15.75" customHeight="1">
      <c r="B760" s="65"/>
      <c r="C760" s="37">
        <f>SUMIF(Carico!$B$3:$B$975,B760,Carico!$C$3:$C$975)-(SUMIF(Scarico!$B$3:$B$997,B760,Scarico!$C$3:$C$997))+$D$4:$D$987</f>
        <v>0</v>
      </c>
      <c r="D760" s="59"/>
      <c r="E760" s="58"/>
      <c r="F760" s="69"/>
    </row>
    <row r="761" ht="15.75" customHeight="1">
      <c r="B761" s="65"/>
      <c r="C761" s="37">
        <f>SUMIF(Carico!$B$3:$B$975,B761,Carico!$C$3:$C$975)-(SUMIF(Scarico!$B$3:$B$997,B761,Scarico!$C$3:$C$997))+$D$4:$D$987</f>
        <v>0</v>
      </c>
      <c r="D761" s="59"/>
      <c r="E761" s="58"/>
      <c r="F761" s="69"/>
    </row>
    <row r="762" ht="15.75" customHeight="1">
      <c r="B762" s="65"/>
      <c r="C762" s="37">
        <f>SUMIF(Carico!$B$3:$B$975,B762,Carico!$C$3:$C$975)-(SUMIF(Scarico!$B$3:$B$997,B762,Scarico!$C$3:$C$997))+$D$4:$D$987</f>
        <v>0</v>
      </c>
      <c r="D762" s="59"/>
      <c r="E762" s="58"/>
      <c r="F762" s="69"/>
    </row>
    <row r="763" ht="15.75" customHeight="1">
      <c r="B763" s="65"/>
      <c r="C763" s="37">
        <f>SUMIF(Carico!$B$3:$B$975,B763,Carico!$C$3:$C$975)-(SUMIF(Scarico!$B$3:$B$997,B763,Scarico!$C$3:$C$997))+$D$4:$D$987</f>
        <v>0</v>
      </c>
      <c r="D763" s="59"/>
      <c r="E763" s="58"/>
      <c r="F763" s="69"/>
    </row>
    <row r="764" ht="15.75" customHeight="1">
      <c r="B764" s="65"/>
      <c r="C764" s="37">
        <f>SUMIF(Carico!$B$3:$B$975,B764,Carico!$C$3:$C$975)-(SUMIF(Scarico!$B$3:$B$997,B764,Scarico!$C$3:$C$997))+$D$4:$D$987</f>
        <v>0</v>
      </c>
      <c r="D764" s="59"/>
      <c r="E764" s="58"/>
      <c r="F764" s="69"/>
    </row>
    <row r="765" ht="15.75" customHeight="1">
      <c r="B765" s="65"/>
      <c r="C765" s="37">
        <f>SUMIF(Carico!$B$3:$B$975,B765,Carico!$C$3:$C$975)-(SUMIF(Scarico!$B$3:$B$997,B765,Scarico!$C$3:$C$997))+$D$4:$D$987</f>
        <v>0</v>
      </c>
      <c r="D765" s="59"/>
      <c r="E765" s="58"/>
      <c r="F765" s="69"/>
    </row>
    <row r="766" ht="15.75" customHeight="1">
      <c r="B766" s="65"/>
      <c r="C766" s="37">
        <f>SUMIF(Carico!$B$3:$B$975,B766,Carico!$C$3:$C$975)-(SUMIF(Scarico!$B$3:$B$997,B766,Scarico!$C$3:$C$997))+$D$4:$D$987</f>
        <v>0</v>
      </c>
      <c r="D766" s="59"/>
      <c r="E766" s="58"/>
      <c r="F766" s="69"/>
    </row>
    <row r="767" ht="15.75" customHeight="1">
      <c r="B767" s="65"/>
      <c r="C767" s="37">
        <f>SUMIF(Carico!$B$3:$B$975,B767,Carico!$C$3:$C$975)-(SUMIF(Scarico!$B$3:$B$997,B767,Scarico!$C$3:$C$997))+$D$4:$D$987</f>
        <v>0</v>
      </c>
      <c r="D767" s="59"/>
      <c r="E767" s="58"/>
      <c r="F767" s="69"/>
    </row>
    <row r="768" ht="15.75" customHeight="1">
      <c r="B768" s="65"/>
      <c r="C768" s="37">
        <f>SUMIF(Carico!$B$3:$B$975,B768,Carico!$C$3:$C$975)-(SUMIF(Scarico!$B$3:$B$997,B768,Scarico!$C$3:$C$997))+$D$4:$D$987</f>
        <v>0</v>
      </c>
      <c r="D768" s="59"/>
      <c r="E768" s="58"/>
      <c r="F768" s="69"/>
    </row>
    <row r="769" ht="15.75" customHeight="1">
      <c r="B769" s="65"/>
      <c r="C769" s="37">
        <f>SUMIF(Carico!$B$3:$B$975,B769,Carico!$C$3:$C$975)-(SUMIF(Scarico!$B$3:$B$997,B769,Scarico!$C$3:$C$997))+$D$4:$D$987</f>
        <v>0</v>
      </c>
      <c r="D769" s="59"/>
      <c r="E769" s="58"/>
      <c r="F769" s="69"/>
    </row>
    <row r="770" ht="15.75" customHeight="1">
      <c r="B770" s="65"/>
      <c r="C770" s="37">
        <f>SUMIF(Carico!$B$3:$B$975,B770,Carico!$C$3:$C$975)-(SUMIF(Scarico!$B$3:$B$997,B770,Scarico!$C$3:$C$997))+$D$4:$D$987</f>
        <v>0</v>
      </c>
      <c r="D770" s="59"/>
      <c r="E770" s="58"/>
      <c r="F770" s="69"/>
    </row>
    <row r="771" ht="15.75" customHeight="1">
      <c r="B771" s="65"/>
      <c r="C771" s="37">
        <f>SUMIF(Carico!$B$3:$B$975,B771,Carico!$C$3:$C$975)-(SUMIF(Scarico!$B$3:$B$997,B771,Scarico!$C$3:$C$997))+$D$4:$D$987</f>
        <v>0</v>
      </c>
      <c r="D771" s="59"/>
      <c r="E771" s="58"/>
      <c r="F771" s="69"/>
    </row>
    <row r="772" ht="15.75" customHeight="1">
      <c r="B772" s="65"/>
      <c r="C772" s="37">
        <f>SUMIF(Carico!$B$3:$B$975,B772,Carico!$C$3:$C$975)-(SUMIF(Scarico!$B$3:$B$997,B772,Scarico!$C$3:$C$997))+$D$4:$D$987</f>
        <v>0</v>
      </c>
      <c r="D772" s="59"/>
      <c r="E772" s="58"/>
      <c r="F772" s="69"/>
    </row>
    <row r="773" ht="15.75" customHeight="1">
      <c r="B773" s="65"/>
      <c r="C773" s="37">
        <f>SUMIF(Carico!$B$3:$B$975,B773,Carico!$C$3:$C$975)-(SUMIF(Scarico!$B$3:$B$997,B773,Scarico!$C$3:$C$997))+$D$4:$D$987</f>
        <v>0</v>
      </c>
      <c r="D773" s="59"/>
      <c r="E773" s="58"/>
      <c r="F773" s="69"/>
    </row>
    <row r="774" ht="15.75" customHeight="1">
      <c r="B774" s="65"/>
      <c r="C774" s="37">
        <f>SUMIF(Carico!$B$3:$B$975,B774,Carico!$C$3:$C$975)-(SUMIF(Scarico!$B$3:$B$997,B774,Scarico!$C$3:$C$997))+$D$4:$D$987</f>
        <v>0</v>
      </c>
      <c r="D774" s="59"/>
      <c r="E774" s="58"/>
      <c r="F774" s="69"/>
    </row>
    <row r="775" ht="15.75" customHeight="1">
      <c r="B775" s="65"/>
      <c r="C775" s="37">
        <f>SUMIF(Carico!$B$3:$B$975,B775,Carico!$C$3:$C$975)-(SUMIF(Scarico!$B$3:$B$997,B775,Scarico!$C$3:$C$997))+$D$4:$D$987</f>
        <v>0</v>
      </c>
      <c r="D775" s="59"/>
      <c r="E775" s="58"/>
      <c r="F775" s="69"/>
    </row>
    <row r="776" ht="15.75" customHeight="1">
      <c r="B776" s="65"/>
      <c r="C776" s="37">
        <f>SUMIF(Carico!$B$3:$B$975,B776,Carico!$C$3:$C$975)-(SUMIF(Scarico!$B$3:$B$997,B776,Scarico!$C$3:$C$997))+$D$4:$D$987</f>
        <v>0</v>
      </c>
      <c r="D776" s="59"/>
      <c r="E776" s="58"/>
      <c r="F776" s="69"/>
    </row>
    <row r="777" ht="15.75" customHeight="1">
      <c r="B777" s="65"/>
      <c r="C777" s="37">
        <f>SUMIF(Carico!$B$3:$B$975,B777,Carico!$C$3:$C$975)-(SUMIF(Scarico!$B$3:$B$997,B777,Scarico!$C$3:$C$997))+$D$4:$D$987</f>
        <v>0</v>
      </c>
      <c r="D777" s="59"/>
      <c r="E777" s="58"/>
      <c r="F777" s="69"/>
    </row>
    <row r="778" ht="15.75" customHeight="1">
      <c r="B778" s="65"/>
      <c r="C778" s="37">
        <f>SUMIF(Carico!$B$3:$B$975,B778,Carico!$C$3:$C$975)-(SUMIF(Scarico!$B$3:$B$997,B778,Scarico!$C$3:$C$997))+$D$4:$D$987</f>
        <v>0</v>
      </c>
      <c r="D778" s="59"/>
      <c r="E778" s="58"/>
      <c r="F778" s="69"/>
    </row>
    <row r="779" ht="15.75" customHeight="1">
      <c r="B779" s="65"/>
      <c r="C779" s="37">
        <f>SUMIF(Carico!$B$3:$B$975,B779,Carico!$C$3:$C$975)-(SUMIF(Scarico!$B$3:$B$997,B779,Scarico!$C$3:$C$997))+$D$4:$D$987</f>
        <v>0</v>
      </c>
      <c r="D779" s="59"/>
      <c r="E779" s="58"/>
      <c r="F779" s="69"/>
    </row>
    <row r="780" ht="15.75" customHeight="1">
      <c r="B780" s="65"/>
      <c r="C780" s="37">
        <f>SUMIF(Carico!$B$3:$B$975,B780,Carico!$C$3:$C$975)-(SUMIF(Scarico!$B$3:$B$997,B780,Scarico!$C$3:$C$997))+$D$4:$D$987</f>
        <v>0</v>
      </c>
      <c r="D780" s="59"/>
      <c r="E780" s="58"/>
      <c r="F780" s="69"/>
    </row>
    <row r="781" ht="15.75" customHeight="1">
      <c r="B781" s="65"/>
      <c r="C781" s="37">
        <f>SUMIF(Carico!$B$3:$B$975,B781,Carico!$C$3:$C$975)-(SUMIF(Scarico!$B$3:$B$997,B781,Scarico!$C$3:$C$997))+$D$4:$D$987</f>
        <v>0</v>
      </c>
      <c r="D781" s="59"/>
      <c r="E781" s="58"/>
      <c r="F781" s="69"/>
    </row>
    <row r="782" ht="15.75" customHeight="1">
      <c r="B782" s="65"/>
      <c r="C782" s="37">
        <f>SUMIF(Carico!$B$3:$B$975,B782,Carico!$C$3:$C$975)-(SUMIF(Scarico!$B$3:$B$997,B782,Scarico!$C$3:$C$997))+$D$4:$D$987</f>
        <v>0</v>
      </c>
      <c r="D782" s="59"/>
      <c r="E782" s="58"/>
      <c r="F782" s="69"/>
    </row>
    <row r="783" ht="15.75" customHeight="1">
      <c r="B783" s="65"/>
      <c r="C783" s="37">
        <f>SUMIF(Carico!$B$3:$B$975,B783,Carico!$C$3:$C$975)-(SUMIF(Scarico!$B$3:$B$997,B783,Scarico!$C$3:$C$997))+$D$4:$D$987</f>
        <v>0</v>
      </c>
      <c r="D783" s="59"/>
      <c r="E783" s="58"/>
      <c r="F783" s="69"/>
    </row>
    <row r="784" ht="15.75" customHeight="1">
      <c r="B784" s="65"/>
      <c r="C784" s="37">
        <f>SUMIF(Carico!$B$3:$B$975,B784,Carico!$C$3:$C$975)-(SUMIF(Scarico!$B$3:$B$997,B784,Scarico!$C$3:$C$997))+$D$4:$D$987</f>
        <v>0</v>
      </c>
      <c r="D784" s="59"/>
      <c r="E784" s="58"/>
      <c r="F784" s="69"/>
    </row>
    <row r="785" ht="15.75" customHeight="1">
      <c r="B785" s="65"/>
      <c r="C785" s="37">
        <f>SUMIF(Carico!$B$3:$B$975,B785,Carico!$C$3:$C$975)-(SUMIF(Scarico!$B$3:$B$997,B785,Scarico!$C$3:$C$997))+$D$4:$D$987</f>
        <v>0</v>
      </c>
      <c r="D785" s="59"/>
      <c r="E785" s="58"/>
      <c r="F785" s="69"/>
    </row>
    <row r="786" ht="15.75" customHeight="1">
      <c r="B786" s="65"/>
      <c r="C786" s="37">
        <f>SUMIF(Carico!$B$3:$B$975,B786,Carico!$C$3:$C$975)-(SUMIF(Scarico!$B$3:$B$997,B786,Scarico!$C$3:$C$997))+$D$4:$D$987</f>
        <v>0</v>
      </c>
      <c r="D786" s="59"/>
      <c r="E786" s="58"/>
      <c r="F786" s="69"/>
    </row>
    <row r="787" ht="15.75" customHeight="1">
      <c r="B787" s="65"/>
      <c r="C787" s="37">
        <f>SUMIF(Carico!$B$3:$B$975,B787,Carico!$C$3:$C$975)-(SUMIF(Scarico!$B$3:$B$997,B787,Scarico!$C$3:$C$997))+$D$4:$D$987</f>
        <v>0</v>
      </c>
      <c r="D787" s="59"/>
      <c r="E787" s="58"/>
      <c r="F787" s="69"/>
    </row>
    <row r="788" ht="15.75" customHeight="1">
      <c r="B788" s="65"/>
      <c r="C788" s="37">
        <f>SUMIF(Carico!$B$3:$B$975,B788,Carico!$C$3:$C$975)-(SUMIF(Scarico!$B$3:$B$997,B788,Scarico!$C$3:$C$997))+$D$4:$D$987</f>
        <v>0</v>
      </c>
      <c r="D788" s="59"/>
      <c r="E788" s="58"/>
      <c r="F788" s="69"/>
    </row>
    <row r="789" ht="15.75" customHeight="1">
      <c r="B789" s="65"/>
      <c r="C789" s="37">
        <f>SUMIF(Carico!$B$3:$B$975,B789,Carico!$C$3:$C$975)-(SUMIF(Scarico!$B$3:$B$997,B789,Scarico!$C$3:$C$997))+$D$4:$D$987</f>
        <v>0</v>
      </c>
      <c r="D789" s="59"/>
      <c r="E789" s="58"/>
      <c r="F789" s="69"/>
    </row>
    <row r="790" ht="15.75" customHeight="1">
      <c r="B790" s="65"/>
      <c r="C790" s="37">
        <f>SUMIF(Carico!$B$3:$B$975,B790,Carico!$C$3:$C$975)-(SUMIF(Scarico!$B$3:$B$997,B790,Scarico!$C$3:$C$997))+$D$4:$D$987</f>
        <v>0</v>
      </c>
      <c r="D790" s="59"/>
      <c r="E790" s="58"/>
      <c r="F790" s="69"/>
    </row>
    <row r="791" ht="15.75" customHeight="1">
      <c r="B791" s="65"/>
      <c r="C791" s="37">
        <f>SUMIF(Carico!$B$3:$B$975,B791,Carico!$C$3:$C$975)-(SUMIF(Scarico!$B$3:$B$997,B791,Scarico!$C$3:$C$997))+$D$4:$D$987</f>
        <v>0</v>
      </c>
      <c r="D791" s="59"/>
      <c r="E791" s="58"/>
      <c r="F791" s="69"/>
    </row>
    <row r="792" ht="15.75" customHeight="1">
      <c r="B792" s="65"/>
      <c r="C792" s="37">
        <f>SUMIF(Carico!$B$3:$B$975,B792,Carico!$C$3:$C$975)-(SUMIF(Scarico!$B$3:$B$997,B792,Scarico!$C$3:$C$997))+$D$4:$D$987</f>
        <v>0</v>
      </c>
      <c r="D792" s="59"/>
      <c r="E792" s="58"/>
      <c r="F792" s="69"/>
    </row>
    <row r="793" ht="15.75" customHeight="1">
      <c r="B793" s="65"/>
      <c r="C793" s="37">
        <f>SUMIF(Carico!$B$3:$B$975,B793,Carico!$C$3:$C$975)-(SUMIF(Scarico!$B$3:$B$997,B793,Scarico!$C$3:$C$997))+$D$4:$D$987</f>
        <v>0</v>
      </c>
      <c r="D793" s="59"/>
      <c r="E793" s="58"/>
      <c r="F793" s="69"/>
    </row>
    <row r="794" ht="15.75" customHeight="1">
      <c r="B794" s="65"/>
      <c r="C794" s="37">
        <f>SUMIF(Carico!$B$3:$B$975,B794,Carico!$C$3:$C$975)-(SUMIF(Scarico!$B$3:$B$997,B794,Scarico!$C$3:$C$997))+$D$4:$D$987</f>
        <v>0</v>
      </c>
      <c r="D794" s="59"/>
      <c r="E794" s="58"/>
      <c r="F794" s="69"/>
    </row>
    <row r="795" ht="15.75" customHeight="1">
      <c r="B795" s="65"/>
      <c r="C795" s="37">
        <f>SUMIF(Carico!$B$3:$B$975,B795,Carico!$C$3:$C$975)-(SUMIF(Scarico!$B$3:$B$997,B795,Scarico!$C$3:$C$997))+$D$4:$D$987</f>
        <v>0</v>
      </c>
      <c r="D795" s="59"/>
      <c r="E795" s="58"/>
      <c r="F795" s="69"/>
    </row>
    <row r="796" ht="15.75" customHeight="1">
      <c r="B796" s="65"/>
      <c r="C796" s="37">
        <f>SUMIF(Carico!$B$3:$B$975,B796,Carico!$C$3:$C$975)-(SUMIF(Scarico!$B$3:$B$997,B796,Scarico!$C$3:$C$997))+$D$4:$D$987</f>
        <v>0</v>
      </c>
      <c r="D796" s="59"/>
      <c r="E796" s="58"/>
      <c r="F796" s="69"/>
    </row>
    <row r="797" ht="15.75" customHeight="1">
      <c r="B797" s="65"/>
      <c r="C797" s="37">
        <f>SUMIF(Carico!$B$3:$B$975,B797,Carico!$C$3:$C$975)-(SUMIF(Scarico!$B$3:$B$997,B797,Scarico!$C$3:$C$997))+$D$4:$D$987</f>
        <v>0</v>
      </c>
      <c r="D797" s="59"/>
      <c r="E797" s="58"/>
      <c r="F797" s="69"/>
    </row>
    <row r="798" ht="15.75" customHeight="1">
      <c r="B798" s="65"/>
      <c r="C798" s="37">
        <f>SUMIF(Carico!$B$3:$B$975,B798,Carico!$C$3:$C$975)-(SUMIF(Scarico!$B$3:$B$997,B798,Scarico!$C$3:$C$997))+$D$4:$D$987</f>
        <v>0</v>
      </c>
      <c r="D798" s="59"/>
      <c r="E798" s="58"/>
      <c r="F798" s="69"/>
    </row>
    <row r="799" ht="15.75" customHeight="1">
      <c r="B799" s="65"/>
      <c r="C799" s="37">
        <f>SUMIF(Carico!$B$3:$B$975,B799,Carico!$C$3:$C$975)-(SUMIF(Scarico!$B$3:$B$997,B799,Scarico!$C$3:$C$997))+$D$4:$D$987</f>
        <v>0</v>
      </c>
      <c r="D799" s="59"/>
      <c r="E799" s="58"/>
      <c r="F799" s="69"/>
    </row>
    <row r="800" ht="15.75" customHeight="1">
      <c r="B800" s="65"/>
      <c r="C800" s="37">
        <f>SUMIF(Carico!$B$3:$B$975,B800,Carico!$C$3:$C$975)-(SUMIF(Scarico!$B$3:$B$997,B800,Scarico!$C$3:$C$997))+$D$4:$D$987</f>
        <v>0</v>
      </c>
      <c r="D800" s="59"/>
      <c r="E800" s="58"/>
      <c r="F800" s="69"/>
    </row>
    <row r="801" ht="15.75" customHeight="1">
      <c r="B801" s="65"/>
      <c r="C801" s="37">
        <f>SUMIF(Carico!$B$3:$B$975,B801,Carico!$C$3:$C$975)-(SUMIF(Scarico!$B$3:$B$997,B801,Scarico!$C$3:$C$997))+$D$4:$D$987</f>
        <v>0</v>
      </c>
      <c r="D801" s="59"/>
      <c r="E801" s="58"/>
      <c r="F801" s="69"/>
    </row>
    <row r="802" ht="15.75" customHeight="1">
      <c r="B802" s="65"/>
      <c r="C802" s="37">
        <f>SUMIF(Carico!$B$3:$B$975,B802,Carico!$C$3:$C$975)-(SUMIF(Scarico!$B$3:$B$997,B802,Scarico!$C$3:$C$997))+$D$4:$D$987</f>
        <v>0</v>
      </c>
      <c r="D802" s="59"/>
      <c r="E802" s="58"/>
      <c r="F802" s="69"/>
    </row>
    <row r="803" ht="15.75" customHeight="1">
      <c r="B803" s="65"/>
      <c r="C803" s="37">
        <f>SUMIF(Carico!$B$3:$B$975,B803,Carico!$C$3:$C$975)-(SUMIF(Scarico!$B$3:$B$997,B803,Scarico!$C$3:$C$997))+$D$4:$D$987</f>
        <v>0</v>
      </c>
      <c r="D803" s="59"/>
      <c r="E803" s="58"/>
      <c r="F803" s="69"/>
    </row>
    <row r="804" ht="15.75" customHeight="1">
      <c r="B804" s="65"/>
      <c r="C804" s="37">
        <f>SUMIF(Carico!$B$3:$B$975,B804,Carico!$C$3:$C$975)-(SUMIF(Scarico!$B$3:$B$997,B804,Scarico!$C$3:$C$997))+$D$4:$D$987</f>
        <v>0</v>
      </c>
      <c r="D804" s="59"/>
      <c r="E804" s="58"/>
      <c r="F804" s="69"/>
    </row>
    <row r="805" ht="15.75" customHeight="1">
      <c r="B805" s="65"/>
      <c r="C805" s="37">
        <f>SUMIF(Carico!$B$3:$B$975,B805,Carico!$C$3:$C$975)-(SUMIF(Scarico!$B$3:$B$997,B805,Scarico!$C$3:$C$997))+$D$4:$D$987</f>
        <v>0</v>
      </c>
      <c r="D805" s="59"/>
      <c r="E805" s="58"/>
      <c r="F805" s="69"/>
    </row>
    <row r="806" ht="15.75" customHeight="1">
      <c r="B806" s="65"/>
      <c r="C806" s="37">
        <f>SUMIF(Carico!$B$3:$B$975,B806,Carico!$C$3:$C$975)-(SUMIF(Scarico!$B$3:$B$997,B806,Scarico!$C$3:$C$997))+$D$4:$D$987</f>
        <v>0</v>
      </c>
      <c r="D806" s="59"/>
      <c r="E806" s="58"/>
      <c r="F806" s="69"/>
    </row>
    <row r="807" ht="15.75" customHeight="1">
      <c r="B807" s="65"/>
      <c r="C807" s="37">
        <f>SUMIF(Carico!$B$3:$B$975,B807,Carico!$C$3:$C$975)-(SUMIF(Scarico!$B$3:$B$997,B807,Scarico!$C$3:$C$997))+$D$4:$D$987</f>
        <v>0</v>
      </c>
      <c r="D807" s="59"/>
      <c r="E807" s="58"/>
      <c r="F807" s="69"/>
    </row>
    <row r="808" ht="15.75" customHeight="1">
      <c r="B808" s="65"/>
      <c r="C808" s="37">
        <f>SUMIF(Carico!$B$3:$B$975,B808,Carico!$C$3:$C$975)-(SUMIF(Scarico!$B$3:$B$997,B808,Scarico!$C$3:$C$997))+$D$4:$D$987</f>
        <v>0</v>
      </c>
      <c r="D808" s="59"/>
      <c r="E808" s="58"/>
      <c r="F808" s="69"/>
    </row>
    <row r="809" ht="15.75" customHeight="1">
      <c r="B809" s="65"/>
      <c r="C809" s="37">
        <f>SUMIF(Carico!$B$3:$B$975,B809,Carico!$C$3:$C$975)-(SUMIF(Scarico!$B$3:$B$997,B809,Scarico!$C$3:$C$997))+$D$4:$D$987</f>
        <v>0</v>
      </c>
      <c r="D809" s="59"/>
      <c r="E809" s="58"/>
      <c r="F809" s="69"/>
    </row>
    <row r="810" ht="15.75" customHeight="1">
      <c r="B810" s="65"/>
      <c r="C810" s="37">
        <f>SUMIF(Carico!$B$3:$B$975,B810,Carico!$C$3:$C$975)-(SUMIF(Scarico!$B$3:$B$997,B810,Scarico!$C$3:$C$997))+$D$4:$D$987</f>
        <v>0</v>
      </c>
      <c r="D810" s="59"/>
      <c r="E810" s="58"/>
      <c r="F810" s="69"/>
    </row>
    <row r="811" ht="15.75" customHeight="1">
      <c r="B811" s="65"/>
      <c r="C811" s="37">
        <f>SUMIF(Carico!$B$3:$B$975,B811,Carico!$C$3:$C$975)-(SUMIF(Scarico!$B$3:$B$997,B811,Scarico!$C$3:$C$997))+$D$4:$D$987</f>
        <v>0</v>
      </c>
      <c r="D811" s="59"/>
      <c r="E811" s="58"/>
      <c r="F811" s="69"/>
    </row>
    <row r="812" ht="15.75" customHeight="1">
      <c r="B812" s="65"/>
      <c r="C812" s="37">
        <f>SUMIF(Carico!$B$3:$B$975,B812,Carico!$C$3:$C$975)-(SUMIF(Scarico!$B$3:$B$997,B812,Scarico!$C$3:$C$997))+$D$4:$D$987</f>
        <v>0</v>
      </c>
      <c r="D812" s="59"/>
      <c r="E812" s="58"/>
      <c r="F812" s="69"/>
    </row>
    <row r="813" ht="15.75" customHeight="1">
      <c r="B813" s="65"/>
      <c r="C813" s="37">
        <f>SUMIF(Carico!$B$3:$B$975,B813,Carico!$C$3:$C$975)-(SUMIF(Scarico!$B$3:$B$997,B813,Scarico!$C$3:$C$997))+$D$4:$D$987</f>
        <v>0</v>
      </c>
      <c r="D813" s="59"/>
      <c r="E813" s="58"/>
      <c r="F813" s="69"/>
    </row>
    <row r="814" ht="15.75" customHeight="1">
      <c r="B814" s="65"/>
      <c r="C814" s="37">
        <f>SUMIF(Carico!$B$3:$B$975,B814,Carico!$C$3:$C$975)-(SUMIF(Scarico!$B$3:$B$997,B814,Scarico!$C$3:$C$997))+$D$4:$D$987</f>
        <v>0</v>
      </c>
      <c r="D814" s="59"/>
      <c r="E814" s="58"/>
      <c r="F814" s="69"/>
    </row>
    <row r="815" ht="15.75" customHeight="1">
      <c r="B815" s="65"/>
      <c r="C815" s="37">
        <f>SUMIF(Carico!$B$3:$B$975,B815,Carico!$C$3:$C$975)-(SUMIF(Scarico!$B$3:$B$997,B815,Scarico!$C$3:$C$997))+$D$4:$D$987</f>
        <v>0</v>
      </c>
      <c r="D815" s="59"/>
      <c r="E815" s="58"/>
      <c r="F815" s="69"/>
    </row>
    <row r="816" ht="15.75" customHeight="1">
      <c r="B816" s="65"/>
      <c r="C816" s="37">
        <f>SUMIF(Carico!$B$3:$B$975,B816,Carico!$C$3:$C$975)-(SUMIF(Scarico!$B$3:$B$997,B816,Scarico!$C$3:$C$997))+$D$4:$D$987</f>
        <v>0</v>
      </c>
      <c r="D816" s="59"/>
      <c r="E816" s="58"/>
      <c r="F816" s="69"/>
    </row>
    <row r="817" ht="15.75" customHeight="1">
      <c r="B817" s="65"/>
      <c r="C817" s="37">
        <f>SUMIF(Carico!$B$3:$B$975,B817,Carico!$C$3:$C$975)-(SUMIF(Scarico!$B$3:$B$997,B817,Scarico!$C$3:$C$997))+$D$4:$D$987</f>
        <v>0</v>
      </c>
      <c r="D817" s="59"/>
      <c r="E817" s="58"/>
      <c r="F817" s="69"/>
    </row>
    <row r="818" ht="15.75" customHeight="1">
      <c r="B818" s="65"/>
      <c r="C818" s="37">
        <f>SUMIF(Carico!$B$3:$B$975,B818,Carico!$C$3:$C$975)-(SUMIF(Scarico!$B$3:$B$997,B818,Scarico!$C$3:$C$997))+$D$4:$D$987</f>
        <v>0</v>
      </c>
      <c r="D818" s="59"/>
      <c r="E818" s="58"/>
      <c r="F818" s="69"/>
    </row>
    <row r="819" ht="15.75" customHeight="1">
      <c r="B819" s="65"/>
      <c r="C819" s="37">
        <f>SUMIF(Carico!$B$3:$B$975,B819,Carico!$C$3:$C$975)-(SUMIF(Scarico!$B$3:$B$997,B819,Scarico!$C$3:$C$997))+$D$4:$D$987</f>
        <v>0</v>
      </c>
      <c r="D819" s="59"/>
      <c r="E819" s="58"/>
      <c r="F819" s="69"/>
    </row>
    <row r="820" ht="15.75" customHeight="1">
      <c r="B820" s="65"/>
      <c r="C820" s="37">
        <f>SUMIF(Carico!$B$3:$B$975,B820,Carico!$C$3:$C$975)-(SUMIF(Scarico!$B$3:$B$997,B820,Scarico!$C$3:$C$997))+$D$4:$D$987</f>
        <v>0</v>
      </c>
      <c r="D820" s="59"/>
      <c r="E820" s="58"/>
      <c r="F820" s="69"/>
    </row>
    <row r="821" ht="15.75" customHeight="1">
      <c r="B821" s="65"/>
      <c r="C821" s="37">
        <f>SUMIF(Carico!$B$3:$B$975,B821,Carico!$C$3:$C$975)-(SUMIF(Scarico!$B$3:$B$997,B821,Scarico!$C$3:$C$997))+$D$4:$D$987</f>
        <v>0</v>
      </c>
      <c r="D821" s="59"/>
      <c r="E821" s="58"/>
      <c r="F821" s="69"/>
    </row>
    <row r="822" ht="15.75" customHeight="1">
      <c r="B822" s="65"/>
      <c r="C822" s="37">
        <f>SUMIF(Carico!$B$3:$B$975,B822,Carico!$C$3:$C$975)-(SUMIF(Scarico!$B$3:$B$997,B822,Scarico!$C$3:$C$997))+$D$4:$D$987</f>
        <v>0</v>
      </c>
      <c r="D822" s="59"/>
      <c r="E822" s="58"/>
      <c r="F822" s="69"/>
    </row>
    <row r="823" ht="15.75" customHeight="1">
      <c r="B823" s="65"/>
      <c r="C823" s="37">
        <f>SUMIF(Carico!$B$3:$B$975,B823,Carico!$C$3:$C$975)-(SUMIF(Scarico!$B$3:$B$997,B823,Scarico!$C$3:$C$997))+$D$4:$D$987</f>
        <v>0</v>
      </c>
      <c r="D823" s="59"/>
      <c r="E823" s="58"/>
      <c r="F823" s="69"/>
    </row>
    <row r="824" ht="15.75" customHeight="1">
      <c r="B824" s="65"/>
      <c r="C824" s="37">
        <f>SUMIF(Carico!$B$3:$B$975,B824,Carico!$C$3:$C$975)-(SUMIF(Scarico!$B$3:$B$997,B824,Scarico!$C$3:$C$997))+$D$4:$D$987</f>
        <v>0</v>
      </c>
      <c r="D824" s="59"/>
      <c r="E824" s="58"/>
      <c r="F824" s="69"/>
    </row>
    <row r="825" ht="15.75" customHeight="1">
      <c r="B825" s="65"/>
      <c r="C825" s="37">
        <f>SUMIF(Carico!$B$3:$B$975,B825,Carico!$C$3:$C$975)-(SUMIF(Scarico!$B$3:$B$997,B825,Scarico!$C$3:$C$997))+$D$4:$D$987</f>
        <v>0</v>
      </c>
      <c r="D825" s="59"/>
      <c r="E825" s="58"/>
      <c r="F825" s="69"/>
    </row>
    <row r="826" ht="15.75" customHeight="1">
      <c r="B826" s="65"/>
      <c r="C826" s="37">
        <f>SUMIF(Carico!$B$3:$B$975,B826,Carico!$C$3:$C$975)-(SUMIF(Scarico!$B$3:$B$997,B826,Scarico!$C$3:$C$997))+$D$4:$D$987</f>
        <v>0</v>
      </c>
      <c r="D826" s="59"/>
      <c r="E826" s="58"/>
      <c r="F826" s="69"/>
    </row>
    <row r="827" ht="15.75" customHeight="1">
      <c r="B827" s="65"/>
      <c r="C827" s="37">
        <f>SUMIF(Carico!$B$3:$B$975,B827,Carico!$C$3:$C$975)-(SUMIF(Scarico!$B$3:$B$997,B827,Scarico!$C$3:$C$997))+$D$4:$D$987</f>
        <v>0</v>
      </c>
      <c r="D827" s="59"/>
      <c r="E827" s="58"/>
      <c r="F827" s="69"/>
    </row>
    <row r="828" ht="15.75" customHeight="1">
      <c r="B828" s="65"/>
      <c r="C828" s="37">
        <f>SUMIF(Carico!$B$3:$B$975,B828,Carico!$C$3:$C$975)-(SUMIF(Scarico!$B$3:$B$997,B828,Scarico!$C$3:$C$997))+$D$4:$D$987</f>
        <v>0</v>
      </c>
      <c r="D828" s="59"/>
      <c r="E828" s="58"/>
      <c r="F828" s="69"/>
    </row>
    <row r="829" ht="15.75" customHeight="1">
      <c r="B829" s="65"/>
      <c r="C829" s="37">
        <f>SUMIF(Carico!$B$3:$B$975,B829,Carico!$C$3:$C$975)-(SUMIF(Scarico!$B$3:$B$997,B829,Scarico!$C$3:$C$997))+$D$4:$D$987</f>
        <v>0</v>
      </c>
      <c r="D829" s="59"/>
      <c r="E829" s="58"/>
      <c r="F829" s="69"/>
    </row>
    <row r="830" ht="15.75" customHeight="1">
      <c r="B830" s="65"/>
      <c r="C830" s="37">
        <f>SUMIF(Carico!$B$3:$B$975,B830,Carico!$C$3:$C$975)-(SUMIF(Scarico!$B$3:$B$997,B830,Scarico!$C$3:$C$997))+$D$4:$D$987</f>
        <v>0</v>
      </c>
      <c r="D830" s="59"/>
      <c r="E830" s="58"/>
      <c r="F830" s="69"/>
    </row>
    <row r="831" ht="15.75" customHeight="1">
      <c r="B831" s="65"/>
      <c r="C831" s="37">
        <f>SUMIF(Carico!$B$3:$B$975,B831,Carico!$C$3:$C$975)-(SUMIF(Scarico!$B$3:$B$997,B831,Scarico!$C$3:$C$997))+$D$4:$D$987</f>
        <v>0</v>
      </c>
      <c r="D831" s="59"/>
      <c r="E831" s="58"/>
      <c r="F831" s="69"/>
    </row>
    <row r="832" ht="15.75" customHeight="1">
      <c r="B832" s="65"/>
      <c r="C832" s="37">
        <f>SUMIF(Carico!$B$3:$B$975,B832,Carico!$C$3:$C$975)-(SUMIF(Scarico!$B$3:$B$997,B832,Scarico!$C$3:$C$997))+$D$4:$D$987</f>
        <v>0</v>
      </c>
      <c r="D832" s="59"/>
      <c r="E832" s="58"/>
      <c r="F832" s="69"/>
    </row>
    <row r="833" ht="15.75" customHeight="1">
      <c r="B833" s="65"/>
      <c r="C833" s="37">
        <f>SUMIF(Carico!$B$3:$B$975,B833,Carico!$C$3:$C$975)-(SUMIF(Scarico!$B$3:$B$997,B833,Scarico!$C$3:$C$997))+$D$4:$D$987</f>
        <v>0</v>
      </c>
      <c r="D833" s="59"/>
      <c r="E833" s="58"/>
      <c r="F833" s="69"/>
    </row>
    <row r="834" ht="15.75" customHeight="1">
      <c r="B834" s="65"/>
      <c r="C834" s="37">
        <f>SUMIF(Carico!$B$3:$B$975,B834,Carico!$C$3:$C$975)-(SUMIF(Scarico!$B$3:$B$997,B834,Scarico!$C$3:$C$997))+$D$4:$D$987</f>
        <v>0</v>
      </c>
      <c r="D834" s="59"/>
      <c r="E834" s="58"/>
      <c r="F834" s="69"/>
    </row>
    <row r="835" ht="15.75" customHeight="1">
      <c r="B835" s="65"/>
      <c r="C835" s="37">
        <f>SUMIF(Carico!$B$3:$B$975,B835,Carico!$C$3:$C$975)-(SUMIF(Scarico!$B$3:$B$997,B835,Scarico!$C$3:$C$997))+$D$4:$D$987</f>
        <v>0</v>
      </c>
      <c r="D835" s="59"/>
      <c r="E835" s="58"/>
      <c r="F835" s="69"/>
    </row>
    <row r="836" ht="15.75" customHeight="1">
      <c r="B836" s="65"/>
      <c r="C836" s="37">
        <f>SUMIF(Carico!$B$3:$B$975,B836,Carico!$C$3:$C$975)-(SUMIF(Scarico!$B$3:$B$997,B836,Scarico!$C$3:$C$997))+$D$4:$D$987</f>
        <v>0</v>
      </c>
      <c r="D836" s="59"/>
      <c r="E836" s="58"/>
      <c r="F836" s="69"/>
    </row>
    <row r="837" ht="15.75" customHeight="1">
      <c r="B837" s="65"/>
      <c r="C837" s="37">
        <f>SUMIF(Carico!$B$3:$B$975,B837,Carico!$C$3:$C$975)-(SUMIF(Scarico!$B$3:$B$997,B837,Scarico!$C$3:$C$997))+$D$4:$D$987</f>
        <v>0</v>
      </c>
      <c r="D837" s="59"/>
      <c r="E837" s="58"/>
      <c r="F837" s="69"/>
    </row>
    <row r="838" ht="15.75" customHeight="1">
      <c r="B838" s="65"/>
      <c r="C838" s="37">
        <f>SUMIF(Carico!$B$3:$B$975,B838,Carico!$C$3:$C$975)-(SUMIF(Scarico!$B$3:$B$997,B838,Scarico!$C$3:$C$997))+$D$4:$D$987</f>
        <v>0</v>
      </c>
      <c r="D838" s="59"/>
      <c r="E838" s="58"/>
      <c r="F838" s="69"/>
    </row>
    <row r="839" ht="15.75" customHeight="1">
      <c r="B839" s="65"/>
      <c r="C839" s="37">
        <f>SUMIF(Carico!$B$3:$B$975,B839,Carico!$C$3:$C$975)-(SUMIF(Scarico!$B$3:$B$997,B839,Scarico!$C$3:$C$997))+$D$4:$D$987</f>
        <v>0</v>
      </c>
      <c r="D839" s="59"/>
      <c r="E839" s="58"/>
      <c r="F839" s="69"/>
    </row>
    <row r="840" ht="15.75" customHeight="1">
      <c r="B840" s="65"/>
      <c r="C840" s="37">
        <f>SUMIF(Carico!$B$3:$B$975,B840,Carico!$C$3:$C$975)-(SUMIF(Scarico!$B$3:$B$997,B840,Scarico!$C$3:$C$997))+$D$4:$D$987</f>
        <v>0</v>
      </c>
      <c r="D840" s="59"/>
      <c r="E840" s="58"/>
      <c r="F840" s="69"/>
    </row>
    <row r="841" ht="15.75" customHeight="1">
      <c r="B841" s="65"/>
      <c r="C841" s="37">
        <f>SUMIF(Carico!$B$3:$B$975,B841,Carico!$C$3:$C$975)-(SUMIF(Scarico!$B$3:$B$997,B841,Scarico!$C$3:$C$997))+$D$4:$D$987</f>
        <v>0</v>
      </c>
      <c r="D841" s="59"/>
      <c r="E841" s="58"/>
      <c r="F841" s="69"/>
    </row>
    <row r="842" ht="15.75" customHeight="1">
      <c r="B842" s="65"/>
      <c r="C842" s="37">
        <f>SUMIF(Carico!$B$3:$B$975,B842,Carico!$C$3:$C$975)-(SUMIF(Scarico!$B$3:$B$997,B842,Scarico!$C$3:$C$997))+$D$4:$D$987</f>
        <v>0</v>
      </c>
      <c r="D842" s="59"/>
      <c r="E842" s="58"/>
      <c r="F842" s="69"/>
    </row>
    <row r="843" ht="15.75" customHeight="1">
      <c r="B843" s="65"/>
      <c r="C843" s="37">
        <f>SUMIF(Carico!$B$3:$B$975,B843,Carico!$C$3:$C$975)-(SUMIF(Scarico!$B$3:$B$997,B843,Scarico!$C$3:$C$997))+$D$4:$D$987</f>
        <v>0</v>
      </c>
      <c r="D843" s="59"/>
      <c r="E843" s="58"/>
      <c r="F843" s="69"/>
    </row>
    <row r="844" ht="15.75" customHeight="1">
      <c r="B844" s="65"/>
      <c r="C844" s="37">
        <f>SUMIF(Carico!$B$3:$B$975,B844,Carico!$C$3:$C$975)-(SUMIF(Scarico!$B$3:$B$997,B844,Scarico!$C$3:$C$997))+$D$4:$D$987</f>
        <v>0</v>
      </c>
      <c r="D844" s="59"/>
      <c r="E844" s="58"/>
      <c r="F844" s="69"/>
    </row>
    <row r="845" ht="15.75" customHeight="1">
      <c r="B845" s="65"/>
      <c r="C845" s="37">
        <f>SUMIF(Carico!$B$3:$B$975,B845,Carico!$C$3:$C$975)-(SUMIF(Scarico!$B$3:$B$997,B845,Scarico!$C$3:$C$997))+$D$4:$D$987</f>
        <v>0</v>
      </c>
      <c r="D845" s="59"/>
      <c r="E845" s="58"/>
      <c r="F845" s="69"/>
    </row>
    <row r="846" ht="15.75" customHeight="1">
      <c r="B846" s="65"/>
      <c r="C846" s="37">
        <f>SUMIF(Carico!$B$3:$B$975,B846,Carico!$C$3:$C$975)-(SUMIF(Scarico!$B$3:$B$997,B846,Scarico!$C$3:$C$997))+$D$4:$D$987</f>
        <v>0</v>
      </c>
      <c r="D846" s="59"/>
      <c r="E846" s="58"/>
      <c r="F846" s="69"/>
    </row>
    <row r="847" ht="15.75" customHeight="1">
      <c r="B847" s="65"/>
      <c r="C847" s="37">
        <f>SUMIF(Carico!$B$3:$B$975,B847,Carico!$C$3:$C$975)-(SUMIF(Scarico!$B$3:$B$997,B847,Scarico!$C$3:$C$997))+$D$4:$D$987</f>
        <v>0</v>
      </c>
      <c r="D847" s="59"/>
      <c r="E847" s="58"/>
      <c r="F847" s="69"/>
    </row>
    <row r="848" ht="15.75" customHeight="1">
      <c r="B848" s="65"/>
      <c r="C848" s="37">
        <f>SUMIF(Carico!$B$3:$B$975,B848,Carico!$C$3:$C$975)-(SUMIF(Scarico!$B$3:$B$997,B848,Scarico!$C$3:$C$997))+$D$4:$D$987</f>
        <v>0</v>
      </c>
      <c r="D848" s="59"/>
      <c r="E848" s="58"/>
      <c r="F848" s="69"/>
    </row>
    <row r="849" ht="15.75" customHeight="1">
      <c r="B849" s="65"/>
      <c r="C849" s="37">
        <f>SUMIF(Carico!$B$3:$B$975,B849,Carico!$C$3:$C$975)-(SUMIF(Scarico!$B$3:$B$997,B849,Scarico!$C$3:$C$997))+$D$4:$D$987</f>
        <v>0</v>
      </c>
      <c r="D849" s="59"/>
      <c r="E849" s="58"/>
      <c r="F849" s="69"/>
    </row>
    <row r="850" ht="15.75" customHeight="1">
      <c r="B850" s="65"/>
      <c r="C850" s="37">
        <f>SUMIF(Carico!$B$3:$B$975,B850,Carico!$C$3:$C$975)-(SUMIF(Scarico!$B$3:$B$997,B850,Scarico!$C$3:$C$997))+$D$4:$D$987</f>
        <v>0</v>
      </c>
      <c r="D850" s="59"/>
      <c r="E850" s="58"/>
      <c r="F850" s="69"/>
    </row>
    <row r="851" ht="15.75" customHeight="1">
      <c r="B851" s="65"/>
      <c r="C851" s="37">
        <f>SUMIF(Carico!$B$3:$B$975,B851,Carico!$C$3:$C$975)-(SUMIF(Scarico!$B$3:$B$997,B851,Scarico!$C$3:$C$997))+$D$4:$D$987</f>
        <v>0</v>
      </c>
      <c r="D851" s="59"/>
      <c r="E851" s="58"/>
      <c r="F851" s="69"/>
    </row>
    <row r="852" ht="15.75" customHeight="1">
      <c r="B852" s="65"/>
      <c r="C852" s="37">
        <f>SUMIF(Carico!$B$3:$B$975,B852,Carico!$C$3:$C$975)-(SUMIF(Scarico!$B$3:$B$997,B852,Scarico!$C$3:$C$997))+$D$4:$D$987</f>
        <v>0</v>
      </c>
      <c r="D852" s="59"/>
      <c r="E852" s="58"/>
      <c r="F852" s="69"/>
    </row>
    <row r="853" ht="15.75" customHeight="1">
      <c r="B853" s="65"/>
      <c r="C853" s="37">
        <f>SUMIF(Carico!$B$3:$B$975,B853,Carico!$C$3:$C$975)-(SUMIF(Scarico!$B$3:$B$997,B853,Scarico!$C$3:$C$997))+$D$4:$D$987</f>
        <v>0</v>
      </c>
      <c r="D853" s="59"/>
      <c r="E853" s="58"/>
      <c r="F853" s="69"/>
    </row>
    <row r="854" ht="15.75" customHeight="1">
      <c r="B854" s="65"/>
      <c r="C854" s="37">
        <f>SUMIF(Carico!$B$3:$B$975,B854,Carico!$C$3:$C$975)-(SUMIF(Scarico!$B$3:$B$997,B854,Scarico!$C$3:$C$997))+$D$4:$D$987</f>
        <v>0</v>
      </c>
      <c r="D854" s="59"/>
      <c r="E854" s="58"/>
      <c r="F854" s="69"/>
    </row>
    <row r="855" ht="15.75" customHeight="1">
      <c r="B855" s="65"/>
      <c r="C855" s="37">
        <f>SUMIF(Carico!$B$3:$B$975,B855,Carico!$C$3:$C$975)-(SUMIF(Scarico!$B$3:$B$997,B855,Scarico!$C$3:$C$997))+$D$4:$D$987</f>
        <v>0</v>
      </c>
      <c r="D855" s="59"/>
      <c r="E855" s="58"/>
      <c r="F855" s="69"/>
    </row>
    <row r="856" ht="15.75" customHeight="1">
      <c r="B856" s="65"/>
      <c r="C856" s="37">
        <f>SUMIF(Carico!$B$3:$B$975,B856,Carico!$C$3:$C$975)-(SUMIF(Scarico!$B$3:$B$997,B856,Scarico!$C$3:$C$997))+$D$4:$D$987</f>
        <v>0</v>
      </c>
      <c r="D856" s="59"/>
      <c r="E856" s="58"/>
      <c r="F856" s="69"/>
    </row>
    <row r="857" ht="15.75" customHeight="1">
      <c r="B857" s="65"/>
      <c r="C857" s="37">
        <f>SUMIF(Carico!$B$3:$B$975,B857,Carico!$C$3:$C$975)-(SUMIF(Scarico!$B$3:$B$997,B857,Scarico!$C$3:$C$997))+$D$4:$D$987</f>
        <v>0</v>
      </c>
      <c r="D857" s="59"/>
      <c r="E857" s="58"/>
      <c r="F857" s="69"/>
    </row>
    <row r="858" ht="15.75" customHeight="1">
      <c r="B858" s="65"/>
      <c r="C858" s="37">
        <f>SUMIF(Carico!$B$3:$B$975,B858,Carico!$C$3:$C$975)-(SUMIF(Scarico!$B$3:$B$997,B858,Scarico!$C$3:$C$997))+$D$4:$D$987</f>
        <v>0</v>
      </c>
      <c r="D858" s="59"/>
      <c r="E858" s="58"/>
      <c r="F858" s="69"/>
    </row>
    <row r="859" ht="15.75" customHeight="1">
      <c r="B859" s="65"/>
      <c r="C859" s="37">
        <f>SUMIF(Carico!$B$3:$B$975,B859,Carico!$C$3:$C$975)-(SUMIF(Scarico!$B$3:$B$997,B859,Scarico!$C$3:$C$997))+$D$4:$D$987</f>
        <v>0</v>
      </c>
      <c r="D859" s="59"/>
      <c r="E859" s="58"/>
      <c r="F859" s="69"/>
    </row>
    <row r="860" ht="15.75" customHeight="1">
      <c r="B860" s="65"/>
      <c r="C860" s="37">
        <f>SUMIF(Carico!$B$3:$B$975,B860,Carico!$C$3:$C$975)-(SUMIF(Scarico!$B$3:$B$997,B860,Scarico!$C$3:$C$997))+$D$4:$D$987</f>
        <v>0</v>
      </c>
      <c r="D860" s="59"/>
      <c r="E860" s="58"/>
      <c r="F860" s="69"/>
    </row>
    <row r="861" ht="15.75" customHeight="1">
      <c r="B861" s="65"/>
      <c r="C861" s="37">
        <f>SUMIF(Carico!$B$3:$B$975,B861,Carico!$C$3:$C$975)-(SUMIF(Scarico!$B$3:$B$997,B861,Scarico!$C$3:$C$997))+$D$4:$D$987</f>
        <v>0</v>
      </c>
      <c r="D861" s="59"/>
      <c r="E861" s="58"/>
      <c r="F861" s="69"/>
    </row>
    <row r="862" ht="15.75" customHeight="1">
      <c r="B862" s="65"/>
      <c r="C862" s="37">
        <f>SUMIF(Carico!$B$3:$B$975,B862,Carico!$C$3:$C$975)-(SUMIF(Scarico!$B$3:$B$997,B862,Scarico!$C$3:$C$997))+$D$4:$D$987</f>
        <v>0</v>
      </c>
      <c r="D862" s="59"/>
      <c r="E862" s="58"/>
      <c r="F862" s="69"/>
    </row>
    <row r="863" ht="15.75" customHeight="1">
      <c r="B863" s="65"/>
      <c r="C863" s="37">
        <f>SUMIF(Carico!$B$3:$B$975,B863,Carico!$C$3:$C$975)-(SUMIF(Scarico!$B$3:$B$997,B863,Scarico!$C$3:$C$997))+$D$4:$D$987</f>
        <v>0</v>
      </c>
      <c r="D863" s="59"/>
      <c r="E863" s="58"/>
      <c r="F863" s="69"/>
    </row>
    <row r="864" ht="15.75" customHeight="1">
      <c r="B864" s="65"/>
      <c r="C864" s="37">
        <f>SUMIF(Carico!$B$3:$B$975,B864,Carico!$C$3:$C$975)-(SUMIF(Scarico!$B$3:$B$997,B864,Scarico!$C$3:$C$997))+$D$4:$D$987</f>
        <v>0</v>
      </c>
      <c r="D864" s="59"/>
      <c r="E864" s="58"/>
      <c r="F864" s="69"/>
    </row>
    <row r="865" ht="15.75" customHeight="1">
      <c r="B865" s="65"/>
      <c r="C865" s="37">
        <f>SUMIF(Carico!$B$3:$B$975,B865,Carico!$C$3:$C$975)-(SUMIF(Scarico!$B$3:$B$997,B865,Scarico!$C$3:$C$997))+$D$4:$D$987</f>
        <v>0</v>
      </c>
      <c r="D865" s="59"/>
      <c r="E865" s="58"/>
      <c r="F865" s="69"/>
    </row>
    <row r="866" ht="15.75" customHeight="1">
      <c r="B866" s="65"/>
      <c r="C866" s="37">
        <f>SUMIF(Carico!$B$3:$B$975,B866,Carico!$C$3:$C$975)-(SUMIF(Scarico!$B$3:$B$997,B866,Scarico!$C$3:$C$997))+$D$4:$D$987</f>
        <v>0</v>
      </c>
      <c r="D866" s="59"/>
      <c r="E866" s="58"/>
      <c r="F866" s="69"/>
    </row>
    <row r="867" ht="15.75" customHeight="1">
      <c r="B867" s="65"/>
      <c r="C867" s="37">
        <f>SUMIF(Carico!$B$3:$B$975,B867,Carico!$C$3:$C$975)-(SUMIF(Scarico!$B$3:$B$997,B867,Scarico!$C$3:$C$997))+$D$4:$D$987</f>
        <v>0</v>
      </c>
      <c r="D867" s="59"/>
      <c r="E867" s="58"/>
      <c r="F867" s="69"/>
    </row>
    <row r="868" ht="15.75" customHeight="1">
      <c r="B868" s="65"/>
      <c r="C868" s="37">
        <f>SUMIF(Carico!$B$3:$B$975,B868,Carico!$C$3:$C$975)-(SUMIF(Scarico!$B$3:$B$997,B868,Scarico!$C$3:$C$997))+$D$4:$D$987</f>
        <v>0</v>
      </c>
      <c r="D868" s="59"/>
      <c r="E868" s="58"/>
      <c r="F868" s="69"/>
    </row>
    <row r="869" ht="15.75" customHeight="1">
      <c r="B869" s="65"/>
      <c r="C869" s="37">
        <f>SUMIF(Carico!$B$3:$B$975,B869,Carico!$C$3:$C$975)-(SUMIF(Scarico!$B$3:$B$997,B869,Scarico!$C$3:$C$997))+$D$4:$D$987</f>
        <v>0</v>
      </c>
      <c r="D869" s="59"/>
      <c r="E869" s="58"/>
      <c r="F869" s="69"/>
    </row>
    <row r="870" ht="15.75" customHeight="1">
      <c r="B870" s="65"/>
      <c r="C870" s="37">
        <f>SUMIF(Carico!$B$3:$B$975,B870,Carico!$C$3:$C$975)-(SUMIF(Scarico!$B$3:$B$997,B870,Scarico!$C$3:$C$997))+$D$4:$D$987</f>
        <v>0</v>
      </c>
      <c r="D870" s="59"/>
      <c r="E870" s="58"/>
      <c r="F870" s="69"/>
    </row>
    <row r="871" ht="15.75" customHeight="1">
      <c r="B871" s="65"/>
      <c r="C871" s="37">
        <f>SUMIF(Carico!$B$3:$B$975,B871,Carico!$C$3:$C$975)-(SUMIF(Scarico!$B$3:$B$997,B871,Scarico!$C$3:$C$997))+$D$4:$D$987</f>
        <v>0</v>
      </c>
      <c r="D871" s="59"/>
      <c r="E871" s="58"/>
      <c r="F871" s="69"/>
    </row>
    <row r="872" ht="15.75" customHeight="1">
      <c r="B872" s="65"/>
      <c r="C872" s="37">
        <f>SUMIF(Carico!$B$3:$B$975,B872,Carico!$C$3:$C$975)-(SUMIF(Scarico!$B$3:$B$997,B872,Scarico!$C$3:$C$997))+$D$4:$D$987</f>
        <v>0</v>
      </c>
      <c r="D872" s="59"/>
      <c r="E872" s="58"/>
      <c r="F872" s="69"/>
    </row>
    <row r="873" ht="15.75" customHeight="1">
      <c r="B873" s="65"/>
      <c r="C873" s="37">
        <f>SUMIF(Carico!$B$3:$B$975,B873,Carico!$C$3:$C$975)-(SUMIF(Scarico!$B$3:$B$997,B873,Scarico!$C$3:$C$997))+$D$4:$D$987</f>
        <v>0</v>
      </c>
      <c r="D873" s="59"/>
      <c r="E873" s="58"/>
      <c r="F873" s="69"/>
    </row>
    <row r="874" ht="15.75" customHeight="1">
      <c r="B874" s="65"/>
      <c r="C874" s="37">
        <f>SUMIF(Carico!$B$3:$B$975,B874,Carico!$C$3:$C$975)-(SUMIF(Scarico!$B$3:$B$997,B874,Scarico!$C$3:$C$997))+$D$4:$D$987</f>
        <v>0</v>
      </c>
      <c r="D874" s="59"/>
      <c r="E874" s="58"/>
      <c r="F874" s="69"/>
    </row>
    <row r="875" ht="15.75" customHeight="1">
      <c r="B875" s="65"/>
      <c r="C875" s="37">
        <f>SUMIF(Carico!$B$3:$B$975,B875,Carico!$C$3:$C$975)-(SUMIF(Scarico!$B$3:$B$997,B875,Scarico!$C$3:$C$997))+$D$4:$D$987</f>
        <v>0</v>
      </c>
      <c r="D875" s="59"/>
      <c r="E875" s="58"/>
      <c r="F875" s="69"/>
    </row>
    <row r="876" ht="15.75" customHeight="1">
      <c r="B876" s="65"/>
      <c r="C876" s="37">
        <f>SUMIF(Carico!$B$3:$B$975,B876,Carico!$C$3:$C$975)-(SUMIF(Scarico!$B$3:$B$997,B876,Scarico!$C$3:$C$997))+$D$4:$D$987</f>
        <v>0</v>
      </c>
      <c r="D876" s="59"/>
      <c r="E876" s="58"/>
      <c r="F876" s="69"/>
    </row>
    <row r="877" ht="15.75" customHeight="1">
      <c r="B877" s="65"/>
      <c r="C877" s="37">
        <f>SUMIF(Carico!$B$3:$B$975,B877,Carico!$C$3:$C$975)-(SUMIF(Scarico!$B$3:$B$997,B877,Scarico!$C$3:$C$997))+$D$4:$D$987</f>
        <v>0</v>
      </c>
      <c r="D877" s="59"/>
      <c r="E877" s="58"/>
      <c r="F877" s="69"/>
    </row>
    <row r="878" ht="15.75" customHeight="1">
      <c r="B878" s="65"/>
      <c r="C878" s="37">
        <f>SUMIF(Carico!$B$3:$B$975,B878,Carico!$C$3:$C$975)-(SUMIF(Scarico!$B$3:$B$997,B878,Scarico!$C$3:$C$997))+$D$4:$D$987</f>
        <v>0</v>
      </c>
      <c r="D878" s="59"/>
      <c r="E878" s="58"/>
      <c r="F878" s="69"/>
    </row>
    <row r="879" ht="15.75" customHeight="1">
      <c r="B879" s="65"/>
      <c r="C879" s="37">
        <f>SUMIF(Carico!$B$3:$B$975,B879,Carico!$C$3:$C$975)-(SUMIF(Scarico!$B$3:$B$997,B879,Scarico!$C$3:$C$997))+$D$4:$D$987</f>
        <v>0</v>
      </c>
      <c r="D879" s="59"/>
      <c r="E879" s="58"/>
      <c r="F879" s="69"/>
    </row>
    <row r="880" ht="15.75" customHeight="1">
      <c r="B880" s="65"/>
      <c r="C880" s="37">
        <f>SUMIF(Carico!$B$3:$B$975,B880,Carico!$C$3:$C$975)-(SUMIF(Scarico!$B$3:$B$997,B880,Scarico!$C$3:$C$997))+$D$4:$D$987</f>
        <v>0</v>
      </c>
      <c r="D880" s="59"/>
      <c r="E880" s="58"/>
      <c r="F880" s="69"/>
    </row>
    <row r="881" ht="15.75" customHeight="1">
      <c r="B881" s="65"/>
      <c r="C881" s="37">
        <f>SUMIF(Carico!$B$3:$B$975,B881,Carico!$C$3:$C$975)-(SUMIF(Scarico!$B$3:$B$997,B881,Scarico!$C$3:$C$997))+$D$4:$D$987</f>
        <v>0</v>
      </c>
      <c r="D881" s="59"/>
      <c r="E881" s="58"/>
      <c r="F881" s="69"/>
    </row>
    <row r="882" ht="15.75" customHeight="1">
      <c r="B882" s="65"/>
      <c r="C882" s="37">
        <f>SUMIF(Carico!$B$3:$B$975,B882,Carico!$C$3:$C$975)-(SUMIF(Scarico!$B$3:$B$997,B882,Scarico!$C$3:$C$997))+$D$4:$D$987</f>
        <v>0</v>
      </c>
      <c r="D882" s="59"/>
      <c r="E882" s="58"/>
      <c r="F882" s="69"/>
    </row>
    <row r="883" ht="15.75" customHeight="1">
      <c r="B883" s="65"/>
      <c r="C883" s="37">
        <f>SUMIF(Carico!$B$3:$B$975,B883,Carico!$C$3:$C$975)-(SUMIF(Scarico!$B$3:$B$997,B883,Scarico!$C$3:$C$997))+$D$4:$D$987</f>
        <v>0</v>
      </c>
      <c r="D883" s="59"/>
      <c r="E883" s="58"/>
      <c r="F883" s="69"/>
    </row>
    <row r="884" ht="15.75" customHeight="1">
      <c r="B884" s="65"/>
      <c r="C884" s="37">
        <f>SUMIF(Carico!$B$3:$B$975,B884,Carico!$C$3:$C$975)-(SUMIF(Scarico!$B$3:$B$997,B884,Scarico!$C$3:$C$997))+$D$4:$D$987</f>
        <v>0</v>
      </c>
      <c r="D884" s="59"/>
      <c r="E884" s="58"/>
      <c r="F884" s="69"/>
    </row>
    <row r="885" ht="15.75" customHeight="1">
      <c r="B885" s="65"/>
      <c r="C885" s="37">
        <f>SUMIF(Carico!$B$3:$B$975,B885,Carico!$C$3:$C$975)-(SUMIF(Scarico!$B$3:$B$997,B885,Scarico!$C$3:$C$997))+$D$4:$D$987</f>
        <v>0</v>
      </c>
      <c r="D885" s="59"/>
      <c r="E885" s="58"/>
      <c r="F885" s="69"/>
    </row>
    <row r="886" ht="15.75" customHeight="1">
      <c r="B886" s="65"/>
      <c r="C886" s="37">
        <f>SUMIF(Carico!$B$3:$B$975,B886,Carico!$C$3:$C$975)-(SUMIF(Scarico!$B$3:$B$997,B886,Scarico!$C$3:$C$997))+$D$4:$D$987</f>
        <v>0</v>
      </c>
      <c r="D886" s="59"/>
      <c r="E886" s="58"/>
      <c r="F886" s="69"/>
    </row>
    <row r="887" ht="15.75" customHeight="1">
      <c r="B887" s="65"/>
      <c r="C887" s="37">
        <f>SUMIF(Carico!$B$3:$B$975,B887,Carico!$C$3:$C$975)-(SUMIF(Scarico!$B$3:$B$997,B887,Scarico!$C$3:$C$997))+$D$4:$D$987</f>
        <v>0</v>
      </c>
      <c r="D887" s="59"/>
      <c r="E887" s="58"/>
      <c r="F887" s="69"/>
    </row>
    <row r="888" ht="15.75" customHeight="1">
      <c r="B888" s="65"/>
      <c r="C888" s="37">
        <f>SUMIF(Carico!$B$3:$B$975,B888,Carico!$C$3:$C$975)-(SUMIF(Scarico!$B$3:$B$997,B888,Scarico!$C$3:$C$997))+$D$4:$D$987</f>
        <v>0</v>
      </c>
      <c r="D888" s="59"/>
      <c r="E888" s="58"/>
      <c r="F888" s="69"/>
    </row>
    <row r="889" ht="15.75" customHeight="1">
      <c r="B889" s="65"/>
      <c r="C889" s="37">
        <f>SUMIF(Carico!$B$3:$B$975,B889,Carico!$C$3:$C$975)-(SUMIF(Scarico!$B$3:$B$997,B889,Scarico!$C$3:$C$997))+$D$4:$D$987</f>
        <v>0</v>
      </c>
      <c r="D889" s="59"/>
      <c r="E889" s="58"/>
      <c r="F889" s="69"/>
    </row>
    <row r="890" ht="15.75" customHeight="1">
      <c r="B890" s="65"/>
      <c r="C890" s="37">
        <f>SUMIF(Carico!$B$3:$B$975,B890,Carico!$C$3:$C$975)-(SUMIF(Scarico!$B$3:$B$997,B890,Scarico!$C$3:$C$997))+$D$4:$D$987</f>
        <v>0</v>
      </c>
      <c r="D890" s="59"/>
      <c r="E890" s="58"/>
      <c r="F890" s="69"/>
    </row>
    <row r="891" ht="15.75" customHeight="1">
      <c r="B891" s="65"/>
      <c r="C891" s="37">
        <f>SUMIF(Carico!$B$3:$B$975,B891,Carico!$C$3:$C$975)-(SUMIF(Scarico!$B$3:$B$997,B891,Scarico!$C$3:$C$997))+$D$4:$D$987</f>
        <v>0</v>
      </c>
      <c r="D891" s="59"/>
      <c r="E891" s="58"/>
      <c r="F891" s="69"/>
    </row>
    <row r="892" ht="15.75" customHeight="1">
      <c r="B892" s="65"/>
      <c r="C892" s="37">
        <f>SUMIF(Carico!$B$3:$B$975,B892,Carico!$C$3:$C$975)-(SUMIF(Scarico!$B$3:$B$997,B892,Scarico!$C$3:$C$997))+$D$4:$D$987</f>
        <v>0</v>
      </c>
      <c r="D892" s="59"/>
      <c r="E892" s="58"/>
      <c r="F892" s="69"/>
    </row>
    <row r="893" ht="15.75" customHeight="1">
      <c r="B893" s="65"/>
      <c r="C893" s="37">
        <f>SUMIF(Carico!$B$3:$B$975,B893,Carico!$C$3:$C$975)-(SUMIF(Scarico!$B$3:$B$997,B893,Scarico!$C$3:$C$997))+$D$4:$D$987</f>
        <v>0</v>
      </c>
      <c r="D893" s="59"/>
      <c r="E893" s="58"/>
      <c r="F893" s="69"/>
    </row>
    <row r="894" ht="15.75" customHeight="1">
      <c r="B894" s="65"/>
      <c r="C894" s="37">
        <f>SUMIF(Carico!$B$3:$B$975,B894,Carico!$C$3:$C$975)-(SUMIF(Scarico!$B$3:$B$997,B894,Scarico!$C$3:$C$997))+$D$4:$D$987</f>
        <v>0</v>
      </c>
      <c r="D894" s="59"/>
      <c r="E894" s="58"/>
      <c r="F894" s="69"/>
    </row>
    <row r="895" ht="15.75" customHeight="1">
      <c r="B895" s="65"/>
      <c r="C895" s="37">
        <f>SUMIF(Carico!$B$3:$B$975,B895,Carico!$C$3:$C$975)-(SUMIF(Scarico!$B$3:$B$997,B895,Scarico!$C$3:$C$997))+$D$4:$D$987</f>
        <v>0</v>
      </c>
      <c r="D895" s="59"/>
      <c r="E895" s="58"/>
      <c r="F895" s="69"/>
    </row>
    <row r="896" ht="15.75" customHeight="1">
      <c r="B896" s="65"/>
      <c r="C896" s="37">
        <f>SUMIF(Carico!$B$3:$B$975,B896,Carico!$C$3:$C$975)-(SUMIF(Scarico!$B$3:$B$997,B896,Scarico!$C$3:$C$997))+$D$4:$D$987</f>
        <v>0</v>
      </c>
      <c r="D896" s="59"/>
      <c r="E896" s="58"/>
      <c r="F896" s="69"/>
    </row>
    <row r="897" ht="15.75" customHeight="1">
      <c r="B897" s="65"/>
      <c r="C897" s="37">
        <f>SUMIF(Carico!$B$3:$B$975,B897,Carico!$C$3:$C$975)-(SUMIF(Scarico!$B$3:$B$997,B897,Scarico!$C$3:$C$997))+$D$4:$D$987</f>
        <v>0</v>
      </c>
      <c r="D897" s="59"/>
      <c r="E897" s="58"/>
      <c r="F897" s="69"/>
    </row>
    <row r="898" ht="15.75" customHeight="1">
      <c r="B898" s="65"/>
      <c r="C898" s="37">
        <f>SUMIF(Carico!$B$3:$B$975,B898,Carico!$C$3:$C$975)-(SUMIF(Scarico!$B$3:$B$997,B898,Scarico!$C$3:$C$997))+$D$4:$D$987</f>
        <v>0</v>
      </c>
      <c r="D898" s="59"/>
      <c r="E898" s="58"/>
      <c r="F898" s="69"/>
    </row>
    <row r="899" ht="15.75" customHeight="1">
      <c r="B899" s="65"/>
      <c r="C899" s="37">
        <f>SUMIF(Carico!$B$3:$B$975,B899,Carico!$C$3:$C$975)-(SUMIF(Scarico!$B$3:$B$997,B899,Scarico!$C$3:$C$997))+$D$4:$D$987</f>
        <v>0</v>
      </c>
      <c r="D899" s="59"/>
      <c r="E899" s="58"/>
      <c r="F899" s="69"/>
    </row>
    <row r="900" ht="15.75" customHeight="1">
      <c r="B900" s="65"/>
      <c r="C900" s="37">
        <f>SUMIF(Carico!$B$3:$B$975,B900,Carico!$C$3:$C$975)-(SUMIF(Scarico!$B$3:$B$997,B900,Scarico!$C$3:$C$997))+$D$4:$D$987</f>
        <v>0</v>
      </c>
      <c r="D900" s="59"/>
      <c r="E900" s="58"/>
      <c r="F900" s="69"/>
    </row>
    <row r="901" ht="15.75" customHeight="1">
      <c r="B901" s="65"/>
      <c r="C901" s="37">
        <f>SUMIF(Carico!$B$3:$B$975,B901,Carico!$C$3:$C$975)-(SUMIF(Scarico!$B$3:$B$997,B901,Scarico!$C$3:$C$997))+$D$4:$D$987</f>
        <v>0</v>
      </c>
      <c r="D901" s="59"/>
      <c r="E901" s="58"/>
      <c r="F901" s="69"/>
    </row>
    <row r="902" ht="15.75" customHeight="1">
      <c r="B902" s="65"/>
      <c r="C902" s="37">
        <f>SUMIF(Carico!$B$3:$B$975,B902,Carico!$C$3:$C$975)-(SUMIF(Scarico!$B$3:$B$997,B902,Scarico!$C$3:$C$997))+$D$4:$D$987</f>
        <v>0</v>
      </c>
      <c r="D902" s="59"/>
      <c r="E902" s="58"/>
      <c r="F902" s="69"/>
    </row>
    <row r="903" ht="15.75" customHeight="1">
      <c r="B903" s="65"/>
      <c r="C903" s="37">
        <f>SUMIF(Carico!$B$3:$B$975,B903,Carico!$C$3:$C$975)-(SUMIF(Scarico!$B$3:$B$997,B903,Scarico!$C$3:$C$997))+$D$4:$D$987</f>
        <v>0</v>
      </c>
      <c r="D903" s="59"/>
      <c r="E903" s="58"/>
      <c r="F903" s="69"/>
    </row>
    <row r="904" ht="15.75" customHeight="1">
      <c r="B904" s="65"/>
      <c r="C904" s="37">
        <f>SUMIF(Carico!$B$3:$B$975,B904,Carico!$C$3:$C$975)-(SUMIF(Scarico!$B$3:$B$997,B904,Scarico!$C$3:$C$997))+$D$4:$D$987</f>
        <v>0</v>
      </c>
      <c r="D904" s="59"/>
      <c r="E904" s="58"/>
      <c r="F904" s="69"/>
    </row>
    <row r="905" ht="15.75" customHeight="1">
      <c r="B905" s="65"/>
      <c r="C905" s="37">
        <f>SUMIF(Carico!$B$3:$B$975,B905,Carico!$C$3:$C$975)-(SUMIF(Scarico!$B$3:$B$997,B905,Scarico!$C$3:$C$997))+$D$4:$D$987</f>
        <v>0</v>
      </c>
      <c r="D905" s="59"/>
      <c r="E905" s="58"/>
      <c r="F905" s="69"/>
    </row>
    <row r="906" ht="15.75" customHeight="1">
      <c r="B906" s="65"/>
      <c r="C906" s="37">
        <f>SUMIF(Carico!$B$3:$B$975,B906,Carico!$C$3:$C$975)-(SUMIF(Scarico!$B$3:$B$997,B906,Scarico!$C$3:$C$997))+$D$4:$D$987</f>
        <v>0</v>
      </c>
      <c r="D906" s="59"/>
      <c r="E906" s="58"/>
      <c r="F906" s="69"/>
    </row>
    <row r="907" ht="15.75" customHeight="1">
      <c r="B907" s="65"/>
      <c r="C907" s="37">
        <f>SUMIF(Carico!$B$3:$B$975,B907,Carico!$C$3:$C$975)-(SUMIF(Scarico!$B$3:$B$997,B907,Scarico!$C$3:$C$997))+$D$4:$D$987</f>
        <v>0</v>
      </c>
      <c r="D907" s="59"/>
      <c r="E907" s="58"/>
      <c r="F907" s="69"/>
    </row>
    <row r="908" ht="15.75" customHeight="1">
      <c r="B908" s="65"/>
      <c r="C908" s="37">
        <f>SUMIF(Carico!$B$3:$B$975,B908,Carico!$C$3:$C$975)-(SUMIF(Scarico!$B$3:$B$997,B908,Scarico!$C$3:$C$997))+$D$4:$D$987</f>
        <v>0</v>
      </c>
      <c r="D908" s="59"/>
      <c r="E908" s="58"/>
      <c r="F908" s="69"/>
    </row>
    <row r="909" ht="15.75" customHeight="1">
      <c r="B909" s="65"/>
      <c r="C909" s="37">
        <f>SUMIF(Carico!$B$3:$B$975,B909,Carico!$C$3:$C$975)-(SUMIF(Scarico!$B$3:$B$997,B909,Scarico!$C$3:$C$997))+$D$4:$D$987</f>
        <v>0</v>
      </c>
      <c r="D909" s="59"/>
      <c r="E909" s="58"/>
      <c r="F909" s="69"/>
    </row>
    <row r="910" ht="15.75" customHeight="1">
      <c r="B910" s="65"/>
      <c r="C910" s="37">
        <f>SUMIF(Carico!$B$3:$B$975,B910,Carico!$C$3:$C$975)-(SUMIF(Scarico!$B$3:$B$997,B910,Scarico!$C$3:$C$997))+$D$4:$D$987</f>
        <v>0</v>
      </c>
      <c r="D910" s="59"/>
      <c r="E910" s="58"/>
      <c r="F910" s="69"/>
    </row>
    <row r="911" ht="15.75" customHeight="1">
      <c r="B911" s="65"/>
      <c r="C911" s="37">
        <f>SUMIF(Carico!$B$3:$B$975,B911,Carico!$C$3:$C$975)-(SUMIF(Scarico!$B$3:$B$997,B911,Scarico!$C$3:$C$997))+$D$4:$D$987</f>
        <v>0</v>
      </c>
      <c r="D911" s="59"/>
      <c r="E911" s="58"/>
      <c r="F911" s="69"/>
    </row>
    <row r="912" ht="15.75" customHeight="1">
      <c r="B912" s="65"/>
      <c r="C912" s="37">
        <f>SUMIF(Carico!$B$3:$B$975,B912,Carico!$C$3:$C$975)-(SUMIF(Scarico!$B$3:$B$997,B912,Scarico!$C$3:$C$997))+$D$4:$D$987</f>
        <v>0</v>
      </c>
      <c r="D912" s="59"/>
      <c r="E912" s="58"/>
      <c r="F912" s="69"/>
    </row>
    <row r="913" ht="15.75" customHeight="1">
      <c r="B913" s="65"/>
      <c r="C913" s="37">
        <f>SUMIF(Carico!$B$3:$B$975,B913,Carico!$C$3:$C$975)-(SUMIF(Scarico!$B$3:$B$997,B913,Scarico!$C$3:$C$997))+$D$4:$D$987</f>
        <v>0</v>
      </c>
      <c r="D913" s="59"/>
      <c r="E913" s="58"/>
      <c r="F913" s="69"/>
    </row>
    <row r="914" ht="15.75" customHeight="1">
      <c r="B914" s="65"/>
      <c r="C914" s="37">
        <f>SUMIF(Carico!$B$3:$B$975,B914,Carico!$C$3:$C$975)-(SUMIF(Scarico!$B$3:$B$997,B914,Scarico!$C$3:$C$997))+$D$4:$D$987</f>
        <v>0</v>
      </c>
      <c r="D914" s="59"/>
      <c r="E914" s="58"/>
      <c r="F914" s="69"/>
    </row>
    <row r="915" ht="15.75" customHeight="1">
      <c r="B915" s="65"/>
      <c r="C915" s="37">
        <f>SUMIF(Carico!$B$3:$B$975,B915,Carico!$C$3:$C$975)-(SUMIF(Scarico!$B$3:$B$997,B915,Scarico!$C$3:$C$997))+$D$4:$D$987</f>
        <v>0</v>
      </c>
      <c r="D915" s="59"/>
      <c r="E915" s="58"/>
      <c r="F915" s="69"/>
    </row>
    <row r="916" ht="15.75" customHeight="1">
      <c r="B916" s="65"/>
      <c r="C916" s="37">
        <f>SUMIF(Carico!$B$3:$B$975,B916,Carico!$C$3:$C$975)-(SUMIF(Scarico!$B$3:$B$997,B916,Scarico!$C$3:$C$997))+$D$4:$D$987</f>
        <v>0</v>
      </c>
      <c r="D916" s="59"/>
      <c r="E916" s="58"/>
      <c r="F916" s="69"/>
    </row>
    <row r="917" ht="15.75" customHeight="1">
      <c r="B917" s="65"/>
      <c r="C917" s="37">
        <f>SUMIF(Carico!$B$3:$B$975,B917,Carico!$C$3:$C$975)-(SUMIF(Scarico!$B$3:$B$997,B917,Scarico!$C$3:$C$997))+$D$4:$D$987</f>
        <v>0</v>
      </c>
      <c r="D917" s="59"/>
      <c r="E917" s="58"/>
      <c r="F917" s="69"/>
    </row>
    <row r="918" ht="15.75" customHeight="1">
      <c r="B918" s="65"/>
      <c r="C918" s="37">
        <f>SUMIF(Carico!$B$3:$B$975,B918,Carico!$C$3:$C$975)-(SUMIF(Scarico!$B$3:$B$997,B918,Scarico!$C$3:$C$997))+$D$4:$D$987</f>
        <v>0</v>
      </c>
      <c r="D918" s="59"/>
      <c r="E918" s="58"/>
      <c r="F918" s="69"/>
    </row>
    <row r="919" ht="15.75" customHeight="1">
      <c r="B919" s="65"/>
      <c r="C919" s="37">
        <f>SUMIF(Carico!$B$3:$B$975,B919,Carico!$C$3:$C$975)-(SUMIF(Scarico!$B$3:$B$997,B919,Scarico!$C$3:$C$997))+$D$4:$D$987</f>
        <v>0</v>
      </c>
      <c r="D919" s="59"/>
      <c r="E919" s="58"/>
      <c r="F919" s="69"/>
    </row>
    <row r="920" ht="15.75" customHeight="1">
      <c r="B920" s="65"/>
      <c r="C920" s="37">
        <f>SUMIF(Carico!$B$3:$B$975,B920,Carico!$C$3:$C$975)-(SUMIF(Scarico!$B$3:$B$997,B920,Scarico!$C$3:$C$997))+$D$4:$D$987</f>
        <v>0</v>
      </c>
      <c r="D920" s="59"/>
      <c r="E920" s="58"/>
      <c r="F920" s="69"/>
    </row>
    <row r="921" ht="15.75" customHeight="1">
      <c r="B921" s="65"/>
      <c r="C921" s="37">
        <f>SUMIF(Carico!$B$3:$B$975,B921,Carico!$C$3:$C$975)-(SUMIF(Scarico!$B$3:$B$997,B921,Scarico!$C$3:$C$997))+$D$4:$D$987</f>
        <v>0</v>
      </c>
      <c r="D921" s="59"/>
      <c r="E921" s="58"/>
      <c r="F921" s="69"/>
    </row>
    <row r="922" ht="15.75" customHeight="1">
      <c r="B922" s="65"/>
      <c r="C922" s="37">
        <f>SUMIF(Carico!$B$3:$B$975,B922,Carico!$C$3:$C$975)-(SUMIF(Scarico!$B$3:$B$997,B922,Scarico!$C$3:$C$997))+$D$4:$D$987</f>
        <v>0</v>
      </c>
      <c r="D922" s="59"/>
      <c r="E922" s="58"/>
      <c r="F922" s="69"/>
    </row>
    <row r="923" ht="15.75" customHeight="1">
      <c r="B923" s="65"/>
      <c r="C923" s="37">
        <f>SUMIF(Carico!$B$3:$B$975,B923,Carico!$C$3:$C$975)-(SUMIF(Scarico!$B$3:$B$997,B923,Scarico!$C$3:$C$997))+$D$4:$D$987</f>
        <v>0</v>
      </c>
      <c r="D923" s="59"/>
      <c r="E923" s="58"/>
      <c r="F923" s="69"/>
    </row>
    <row r="924" ht="15.75" customHeight="1">
      <c r="B924" s="65"/>
      <c r="C924" s="37">
        <f>SUMIF(Carico!$B$3:$B$975,B924,Carico!$C$3:$C$975)-(SUMIF(Scarico!$B$3:$B$997,B924,Scarico!$C$3:$C$997))+$D$4:$D$987</f>
        <v>0</v>
      </c>
      <c r="D924" s="59"/>
      <c r="E924" s="58"/>
      <c r="F924" s="69"/>
    </row>
    <row r="925" ht="15.75" customHeight="1">
      <c r="B925" s="65"/>
      <c r="C925" s="37">
        <f>SUMIF(Carico!$B$3:$B$975,B925,Carico!$C$3:$C$975)-(SUMIF(Scarico!$B$3:$B$997,B925,Scarico!$C$3:$C$997))+$D$4:$D$987</f>
        <v>0</v>
      </c>
      <c r="D925" s="59"/>
      <c r="E925" s="58"/>
      <c r="F925" s="69"/>
    </row>
    <row r="926" ht="15.75" customHeight="1">
      <c r="B926" s="65"/>
      <c r="C926" s="37">
        <f>SUMIF(Carico!$B$3:$B$975,B926,Carico!$C$3:$C$975)-(SUMIF(Scarico!$B$3:$B$997,B926,Scarico!$C$3:$C$997))+$D$4:$D$987</f>
        <v>0</v>
      </c>
      <c r="D926" s="59"/>
      <c r="E926" s="58"/>
      <c r="F926" s="69"/>
    </row>
    <row r="927" ht="15.75" customHeight="1">
      <c r="B927" s="65"/>
      <c r="C927" s="37">
        <f>SUMIF(Carico!$B$3:$B$975,B927,Carico!$C$3:$C$975)-(SUMIF(Scarico!$B$3:$B$997,B927,Scarico!$C$3:$C$997))+$D$4:$D$987</f>
        <v>0</v>
      </c>
      <c r="D927" s="59"/>
      <c r="E927" s="58"/>
      <c r="F927" s="69"/>
    </row>
    <row r="928" ht="15.75" customHeight="1">
      <c r="B928" s="65"/>
      <c r="C928" s="37">
        <f>SUMIF(Carico!$B$3:$B$975,B928,Carico!$C$3:$C$975)-(SUMIF(Scarico!$B$3:$B$997,B928,Scarico!$C$3:$C$997))+$D$4:$D$987</f>
        <v>0</v>
      </c>
      <c r="D928" s="59"/>
      <c r="E928" s="58"/>
      <c r="F928" s="69"/>
    </row>
    <row r="929" ht="15.75" customHeight="1">
      <c r="B929" s="65"/>
      <c r="C929" s="37">
        <f>SUMIF(Carico!$B$3:$B$975,B929,Carico!$C$3:$C$975)-(SUMIF(Scarico!$B$3:$B$997,B929,Scarico!$C$3:$C$997))+$D$4:$D$987</f>
        <v>0</v>
      </c>
      <c r="D929" s="59"/>
      <c r="E929" s="58"/>
      <c r="F929" s="69"/>
    </row>
    <row r="930" ht="15.75" customHeight="1">
      <c r="B930" s="65"/>
      <c r="C930" s="37">
        <f>SUMIF(Carico!$B$3:$B$975,B930,Carico!$C$3:$C$975)-(SUMIF(Scarico!$B$3:$B$997,B930,Scarico!$C$3:$C$997))+$D$4:$D$987</f>
        <v>0</v>
      </c>
      <c r="D930" s="59"/>
      <c r="E930" s="58"/>
      <c r="F930" s="69"/>
    </row>
    <row r="931" ht="15.75" customHeight="1">
      <c r="B931" s="65"/>
      <c r="C931" s="37">
        <f>SUMIF(Carico!$B$3:$B$975,B931,Carico!$C$3:$C$975)-(SUMIF(Scarico!$B$3:$B$997,B931,Scarico!$C$3:$C$997))+$D$4:$D$987</f>
        <v>0</v>
      </c>
      <c r="D931" s="59"/>
      <c r="E931" s="58"/>
      <c r="F931" s="69"/>
    </row>
    <row r="932" ht="15.75" customHeight="1">
      <c r="B932" s="65"/>
      <c r="C932" s="37">
        <f>SUMIF(Carico!$B$3:$B$975,B932,Carico!$C$3:$C$975)-(SUMIF(Scarico!$B$3:$B$997,B932,Scarico!$C$3:$C$997))+$D$4:$D$987</f>
        <v>0</v>
      </c>
      <c r="D932" s="59"/>
      <c r="E932" s="58"/>
      <c r="F932" s="69"/>
    </row>
    <row r="933" ht="15.75" customHeight="1">
      <c r="B933" s="65"/>
      <c r="C933" s="37">
        <f>SUMIF(Carico!$B$3:$B$975,B933,Carico!$C$3:$C$975)-(SUMIF(Scarico!$B$3:$B$997,B933,Scarico!$C$3:$C$997))+$D$4:$D$987</f>
        <v>0</v>
      </c>
      <c r="D933" s="59"/>
      <c r="E933" s="58"/>
      <c r="F933" s="69"/>
    </row>
    <row r="934" ht="15.75" customHeight="1">
      <c r="B934" s="65"/>
      <c r="C934" s="37">
        <f>SUMIF(Carico!$B$3:$B$975,B934,Carico!$C$3:$C$975)-(SUMIF(Scarico!$B$3:$B$997,B934,Scarico!$C$3:$C$997))+$D$4:$D$987</f>
        <v>0</v>
      </c>
      <c r="D934" s="59"/>
      <c r="E934" s="58"/>
      <c r="F934" s="69"/>
    </row>
    <row r="935" ht="15.75" customHeight="1">
      <c r="B935" s="65"/>
      <c r="C935" s="37">
        <f>SUMIF(Carico!$B$3:$B$975,B935,Carico!$C$3:$C$975)-(SUMIF(Scarico!$B$3:$B$997,B935,Scarico!$C$3:$C$997))+$D$4:$D$987</f>
        <v>0</v>
      </c>
      <c r="D935" s="59"/>
      <c r="E935" s="58"/>
      <c r="F935" s="69"/>
    </row>
    <row r="936" ht="15.75" customHeight="1">
      <c r="B936" s="65"/>
      <c r="C936" s="37">
        <f>SUMIF(Carico!$B$3:$B$975,B936,Carico!$C$3:$C$975)-(SUMIF(Scarico!$B$3:$B$997,B936,Scarico!$C$3:$C$997))+$D$4:$D$987</f>
        <v>0</v>
      </c>
      <c r="D936" s="59"/>
      <c r="E936" s="58"/>
      <c r="F936" s="69"/>
    </row>
    <row r="937" ht="15.75" customHeight="1">
      <c r="B937" s="65"/>
      <c r="C937" s="37">
        <f>SUMIF(Carico!$B$3:$B$975,B937,Carico!$C$3:$C$975)-(SUMIF(Scarico!$B$3:$B$997,B937,Scarico!$C$3:$C$997))+$D$4:$D$987</f>
        <v>0</v>
      </c>
      <c r="D937" s="59"/>
      <c r="E937" s="58"/>
      <c r="F937" s="69"/>
    </row>
    <row r="938" ht="15.75" customHeight="1">
      <c r="B938" s="65"/>
      <c r="C938" s="37">
        <f>SUMIF(Carico!$B$3:$B$975,B938,Carico!$C$3:$C$975)-(SUMIF(Scarico!$B$3:$B$997,B938,Scarico!$C$3:$C$997))+$D$4:$D$987</f>
        <v>0</v>
      </c>
      <c r="D938" s="59"/>
      <c r="E938" s="58"/>
      <c r="F938" s="69"/>
    </row>
    <row r="939" ht="15.75" customHeight="1">
      <c r="B939" s="65"/>
      <c r="C939" s="37">
        <f>SUMIF(Carico!$B$3:$B$975,B939,Carico!$C$3:$C$975)-(SUMIF(Scarico!$B$3:$B$997,B939,Scarico!$C$3:$C$997))+$D$4:$D$987</f>
        <v>0</v>
      </c>
      <c r="D939" s="59"/>
      <c r="E939" s="58"/>
      <c r="F939" s="69"/>
    </row>
    <row r="940" ht="15.75" customHeight="1">
      <c r="B940" s="65"/>
      <c r="C940" s="37">
        <f>SUMIF(Carico!$B$3:$B$975,B940,Carico!$C$3:$C$975)-(SUMIF(Scarico!$B$3:$B$997,B940,Scarico!$C$3:$C$997))+$D$4:$D$987</f>
        <v>0</v>
      </c>
      <c r="D940" s="59"/>
      <c r="E940" s="58"/>
      <c r="F940" s="69"/>
    </row>
    <row r="941" ht="15.75" customHeight="1">
      <c r="B941" s="65"/>
      <c r="C941" s="37">
        <f>SUMIF(Carico!$B$3:$B$975,B941,Carico!$C$3:$C$975)-(SUMIF(Scarico!$B$3:$B$997,B941,Scarico!$C$3:$C$997))+$D$4:$D$987</f>
        <v>0</v>
      </c>
      <c r="D941" s="59"/>
      <c r="E941" s="58"/>
      <c r="F941" s="69"/>
    </row>
    <row r="942" ht="15.75" customHeight="1">
      <c r="B942" s="65"/>
      <c r="C942" s="37">
        <f>SUMIF(Carico!$B$3:$B$975,B942,Carico!$C$3:$C$975)-(SUMIF(Scarico!$B$3:$B$997,B942,Scarico!$C$3:$C$997))+$D$4:$D$987</f>
        <v>0</v>
      </c>
      <c r="D942" s="59"/>
      <c r="E942" s="58"/>
      <c r="F942" s="69"/>
    </row>
    <row r="943" ht="15.75" customHeight="1">
      <c r="B943" s="65"/>
      <c r="C943" s="37">
        <f>SUMIF(Carico!$B$3:$B$975,B943,Carico!$C$3:$C$975)-(SUMIF(Scarico!$B$3:$B$997,B943,Scarico!$C$3:$C$997))+$D$4:$D$987</f>
        <v>0</v>
      </c>
      <c r="D943" s="59"/>
      <c r="E943" s="58"/>
      <c r="F943" s="69"/>
    </row>
    <row r="944" ht="15.75" customHeight="1">
      <c r="B944" s="65"/>
      <c r="C944" s="37">
        <f>SUMIF(Carico!$B$3:$B$975,B944,Carico!$C$3:$C$975)-(SUMIF(Scarico!$B$3:$B$997,B944,Scarico!$C$3:$C$997))+$D$4:$D$987</f>
        <v>0</v>
      </c>
      <c r="D944" s="59"/>
      <c r="E944" s="58"/>
      <c r="F944" s="69"/>
    </row>
    <row r="945" ht="15.75" customHeight="1">
      <c r="B945" s="65"/>
      <c r="C945" s="37">
        <f>SUMIF(Carico!$B$3:$B$975,B945,Carico!$C$3:$C$975)-(SUMIF(Scarico!$B$3:$B$997,B945,Scarico!$C$3:$C$997))+$D$4:$D$987</f>
        <v>0</v>
      </c>
      <c r="D945" s="59"/>
      <c r="E945" s="58"/>
      <c r="F945" s="69"/>
    </row>
    <row r="946" ht="15.75" customHeight="1">
      <c r="B946" s="65"/>
      <c r="C946" s="37">
        <f>SUMIF(Carico!$B$3:$B$975,B946,Carico!$C$3:$C$975)-(SUMIF(Scarico!$B$3:$B$997,B946,Scarico!$C$3:$C$997))+$D$4:$D$987</f>
        <v>0</v>
      </c>
      <c r="D946" s="59"/>
      <c r="E946" s="58"/>
      <c r="F946" s="69"/>
    </row>
    <row r="947" ht="15.75" customHeight="1">
      <c r="B947" s="65"/>
      <c r="C947" s="37">
        <f>SUMIF(Carico!$B$3:$B$975,B947,Carico!$C$3:$C$975)-(SUMIF(Scarico!$B$3:$B$997,B947,Scarico!$C$3:$C$997))+$D$4:$D$987</f>
        <v>0</v>
      </c>
      <c r="D947" s="59"/>
      <c r="E947" s="58"/>
      <c r="F947" s="69"/>
    </row>
    <row r="948" ht="15.75" customHeight="1">
      <c r="B948" s="65"/>
      <c r="C948" s="37">
        <f>SUMIF(Carico!$B$3:$B$975,B948,Carico!$C$3:$C$975)-(SUMIF(Scarico!$B$3:$B$997,B948,Scarico!$C$3:$C$997))+$D$4:$D$987</f>
        <v>0</v>
      </c>
      <c r="D948" s="59"/>
      <c r="E948" s="58"/>
      <c r="F948" s="69"/>
    </row>
    <row r="949" ht="15.75" customHeight="1">
      <c r="B949" s="65"/>
      <c r="C949" s="37">
        <f>SUMIF(Carico!$B$3:$B$975,B949,Carico!$C$3:$C$975)-(SUMIF(Scarico!$B$3:$B$997,B949,Scarico!$C$3:$C$997))+$D$4:$D$987</f>
        <v>0</v>
      </c>
      <c r="D949" s="59"/>
      <c r="E949" s="58"/>
      <c r="F949" s="69"/>
    </row>
    <row r="950" ht="15.75" customHeight="1">
      <c r="B950" s="65"/>
      <c r="C950" s="37">
        <f>SUMIF(Carico!$B$3:$B$975,B950,Carico!$C$3:$C$975)-(SUMIF(Scarico!$B$3:$B$997,B950,Scarico!$C$3:$C$997))+$D$4:$D$987</f>
        <v>0</v>
      </c>
      <c r="D950" s="59"/>
      <c r="E950" s="58"/>
      <c r="F950" s="69"/>
    </row>
    <row r="951" ht="15.75" customHeight="1">
      <c r="B951" s="65"/>
      <c r="C951" s="37">
        <f>SUMIF(Carico!$B$3:$B$975,B951,Carico!$C$3:$C$975)-(SUMIF(Scarico!$B$3:$B$997,B951,Scarico!$C$3:$C$997))+$D$4:$D$987</f>
        <v>0</v>
      </c>
      <c r="D951" s="59"/>
      <c r="E951" s="58"/>
      <c r="F951" s="69"/>
    </row>
    <row r="952" ht="15.75" customHeight="1">
      <c r="B952" s="65"/>
      <c r="C952" s="37">
        <f>SUMIF(Carico!$B$3:$B$975,B952,Carico!$C$3:$C$975)-(SUMIF(Scarico!$B$3:$B$997,B952,Scarico!$C$3:$C$997))+$D$4:$D$987</f>
        <v>0</v>
      </c>
      <c r="D952" s="59"/>
      <c r="E952" s="58"/>
      <c r="F952" s="69"/>
    </row>
    <row r="953" ht="15.75" customHeight="1">
      <c r="B953" s="65"/>
      <c r="C953" s="37">
        <f>SUMIF(Carico!$B$3:$B$975,B953,Carico!$C$3:$C$975)-(SUMIF(Scarico!$B$3:$B$997,B953,Scarico!$C$3:$C$997))+$D$4:$D$987</f>
        <v>0</v>
      </c>
      <c r="D953" s="59"/>
      <c r="E953" s="58"/>
      <c r="F953" s="69"/>
    </row>
    <row r="954" ht="15.75" customHeight="1">
      <c r="B954" s="65"/>
      <c r="C954" s="37">
        <f>SUMIF(Carico!$B$3:$B$975,B954,Carico!$C$3:$C$975)-(SUMIF(Scarico!$B$3:$B$997,B954,Scarico!$C$3:$C$997))+$D$4:$D$987</f>
        <v>0</v>
      </c>
      <c r="D954" s="59"/>
      <c r="E954" s="58"/>
      <c r="F954" s="69"/>
    </row>
    <row r="955" ht="15.75" customHeight="1">
      <c r="B955" s="65"/>
      <c r="C955" s="37">
        <f>SUMIF(Carico!$B$3:$B$975,B955,Carico!$C$3:$C$975)-(SUMIF(Scarico!$B$3:$B$997,B955,Scarico!$C$3:$C$997))+$D$4:$D$987</f>
        <v>0</v>
      </c>
      <c r="D955" s="59"/>
      <c r="E955" s="58"/>
      <c r="F955" s="69"/>
    </row>
    <row r="956" ht="15.75" customHeight="1">
      <c r="B956" s="65"/>
      <c r="C956" s="37">
        <f>SUMIF(Carico!$B$3:$B$975,B956,Carico!$C$3:$C$975)-(SUMIF(Scarico!$B$3:$B$997,B956,Scarico!$C$3:$C$997))+$D$4:$D$987</f>
        <v>0</v>
      </c>
      <c r="D956" s="59"/>
      <c r="E956" s="58"/>
      <c r="F956" s="69"/>
    </row>
    <row r="957" ht="15.75" customHeight="1">
      <c r="B957" s="65"/>
      <c r="C957" s="37">
        <f>SUMIF(Carico!$B$3:$B$975,B957,Carico!$C$3:$C$975)-(SUMIF(Scarico!$B$3:$B$997,B957,Scarico!$C$3:$C$997))+$D$4:$D$987</f>
        <v>0</v>
      </c>
      <c r="D957" s="59"/>
      <c r="E957" s="58"/>
      <c r="F957" s="69"/>
    </row>
    <row r="958" ht="15.75" customHeight="1">
      <c r="B958" s="65"/>
      <c r="C958" s="37">
        <f>SUMIF(Carico!$B$3:$B$975,B958,Carico!$C$3:$C$975)-(SUMIF(Scarico!$B$3:$B$997,B958,Scarico!$C$3:$C$997))+$D$4:$D$987</f>
        <v>0</v>
      </c>
      <c r="D958" s="59"/>
      <c r="E958" s="58"/>
      <c r="F958" s="69"/>
    </row>
    <row r="959" ht="15.75" customHeight="1">
      <c r="B959" s="65"/>
      <c r="C959" s="37">
        <f>SUMIF(Carico!$B$3:$B$975,B959,Carico!$C$3:$C$975)-(SUMIF(Scarico!$B$3:$B$997,B959,Scarico!$C$3:$C$997))+$D$4:$D$987</f>
        <v>0</v>
      </c>
      <c r="D959" s="59"/>
      <c r="E959" s="58"/>
      <c r="F959" s="69"/>
    </row>
    <row r="960" ht="15.75" customHeight="1">
      <c r="B960" s="65"/>
      <c r="C960" s="37">
        <f>SUMIF(Carico!$B$3:$B$975,B960,Carico!$C$3:$C$975)-(SUMIF(Scarico!$B$3:$B$997,B960,Scarico!$C$3:$C$997))+$D$4:$D$987</f>
        <v>0</v>
      </c>
      <c r="D960" s="59"/>
      <c r="E960" s="58"/>
      <c r="F960" s="69"/>
    </row>
    <row r="961" ht="15.75" customHeight="1">
      <c r="B961" s="65"/>
      <c r="C961" s="37">
        <f>SUMIF(Carico!$B$3:$B$975,B961,Carico!$C$3:$C$975)-(SUMIF(Scarico!$B$3:$B$997,B961,Scarico!$C$3:$C$997))+$D$4:$D$987</f>
        <v>0</v>
      </c>
      <c r="D961" s="59"/>
      <c r="E961" s="58"/>
      <c r="F961" s="69"/>
    </row>
    <row r="962" ht="15.75" customHeight="1">
      <c r="B962" s="65"/>
      <c r="C962" s="37">
        <f>SUMIF(Carico!$B$3:$B$975,B962,Carico!$C$3:$C$975)-(SUMIF(Scarico!$B$3:$B$997,B962,Scarico!$C$3:$C$997))+$D$4:$D$987</f>
        <v>0</v>
      </c>
      <c r="D962" s="59"/>
      <c r="E962" s="58"/>
      <c r="F962" s="69"/>
    </row>
    <row r="963" ht="15.75" customHeight="1">
      <c r="B963" s="65"/>
      <c r="C963" s="37">
        <f>SUMIF(Carico!$B$3:$B$975,B963,Carico!$C$3:$C$975)-(SUMIF(Scarico!$B$3:$B$997,B963,Scarico!$C$3:$C$997))+$D$4:$D$987</f>
        <v>0</v>
      </c>
      <c r="D963" s="59"/>
      <c r="E963" s="58"/>
      <c r="F963" s="69"/>
    </row>
    <row r="964" ht="15.75" customHeight="1">
      <c r="B964" s="65"/>
      <c r="C964" s="37">
        <f>SUMIF(Carico!$B$3:$B$975,B964,Carico!$C$3:$C$975)-(SUMIF(Scarico!$B$3:$B$997,B964,Scarico!$C$3:$C$997))+$D$4:$D$987</f>
        <v>0</v>
      </c>
      <c r="D964" s="59"/>
      <c r="E964" s="58"/>
      <c r="F964" s="69"/>
    </row>
    <row r="965" ht="15.75" customHeight="1">
      <c r="B965" s="65"/>
      <c r="C965" s="37">
        <f>SUMIF(Carico!$B$3:$B$975,B965,Carico!$C$3:$C$975)-(SUMIF(Scarico!$B$3:$B$997,B965,Scarico!$C$3:$C$997))+$D$4:$D$987</f>
        <v>0</v>
      </c>
      <c r="D965" s="59"/>
      <c r="E965" s="58"/>
      <c r="F965" s="69"/>
    </row>
    <row r="966" ht="15.75" customHeight="1">
      <c r="B966" s="65"/>
      <c r="C966" s="37">
        <f>SUMIF(Carico!$B$3:$B$975,B966,Carico!$C$3:$C$975)-(SUMIF(Scarico!$B$3:$B$997,B966,Scarico!$C$3:$C$997))+$D$4:$D$987</f>
        <v>0</v>
      </c>
      <c r="D966" s="59"/>
      <c r="E966" s="58"/>
      <c r="F966" s="69"/>
    </row>
    <row r="967" ht="15.75" customHeight="1">
      <c r="B967" s="65"/>
      <c r="C967" s="37">
        <f>SUMIF(Carico!$B$3:$B$975,B967,Carico!$C$3:$C$975)-(SUMIF(Scarico!$B$3:$B$997,B967,Scarico!$C$3:$C$997))+$D$4:$D$987</f>
        <v>0</v>
      </c>
      <c r="D967" s="59"/>
      <c r="E967" s="58"/>
      <c r="F967" s="69"/>
    </row>
    <row r="968" ht="15.75" customHeight="1">
      <c r="B968" s="65"/>
      <c r="C968" s="37">
        <f>SUMIF(Carico!$B$3:$B$975,B968,Carico!$C$3:$C$975)-(SUMIF(Scarico!$B$3:$B$997,B968,Scarico!$C$3:$C$997))+$D$4:$D$987</f>
        <v>0</v>
      </c>
      <c r="D968" s="59"/>
      <c r="E968" s="58"/>
      <c r="F968" s="69"/>
    </row>
    <row r="969" ht="15.75" customHeight="1">
      <c r="B969" s="65"/>
      <c r="C969" s="37">
        <f>SUMIF(Carico!$B$3:$B$975,B969,Carico!$C$3:$C$975)-(SUMIF(Scarico!$B$3:$B$997,B969,Scarico!$C$3:$C$997))+$D$4:$D$987</f>
        <v>0</v>
      </c>
      <c r="D969" s="59"/>
      <c r="E969" s="58"/>
      <c r="F969" s="69"/>
    </row>
    <row r="970" ht="15.75" customHeight="1">
      <c r="B970" s="65"/>
      <c r="C970" s="37">
        <f>SUMIF(Carico!$B$3:$B$975,B970,Carico!$C$3:$C$975)-(SUMIF(Scarico!$B$3:$B$997,B970,Scarico!$C$3:$C$997))+$D$4:$D$987</f>
        <v>0</v>
      </c>
      <c r="D970" s="59"/>
      <c r="E970" s="58"/>
      <c r="F970" s="69"/>
    </row>
    <row r="971" ht="15.75" customHeight="1">
      <c r="B971" s="65"/>
      <c r="C971" s="37">
        <f>SUMIF(Carico!$B$3:$B$975,B971,Carico!$C$3:$C$975)-(SUMIF(Scarico!$B$3:$B$997,B971,Scarico!$C$3:$C$997))+$D$4:$D$987</f>
        <v>0</v>
      </c>
      <c r="D971" s="59"/>
      <c r="E971" s="58"/>
      <c r="F971" s="69"/>
    </row>
    <row r="972" ht="15.75" customHeight="1">
      <c r="B972" s="65"/>
      <c r="C972" s="37">
        <f>SUMIF(Carico!$B$3:$B$975,B972,Carico!$C$3:$C$975)-(SUMIF(Scarico!$B$3:$B$997,B972,Scarico!$C$3:$C$997))+$D$4:$D$987</f>
        <v>0</v>
      </c>
      <c r="D972" s="59"/>
      <c r="E972" s="58"/>
      <c r="F972" s="69"/>
    </row>
    <row r="973" ht="15.75" customHeight="1">
      <c r="B973" s="65"/>
      <c r="C973" s="37">
        <f>SUMIF(Carico!$B$3:$B$975,B973,Carico!$C$3:$C$975)-(SUMIF(Scarico!$B$3:$B$997,B973,Scarico!$C$3:$C$997))+$D$4:$D$987</f>
        <v>0</v>
      </c>
      <c r="D973" s="59"/>
      <c r="E973" s="58"/>
      <c r="F973" s="69"/>
    </row>
    <row r="974" ht="15.75" customHeight="1">
      <c r="B974" s="65"/>
      <c r="C974" s="37">
        <f>SUMIF(Carico!$B$3:$B$975,B974,Carico!$C$3:$C$975)-(SUMIF(Scarico!$B$3:$B$997,B974,Scarico!$C$3:$C$997))+$D$4:$D$987</f>
        <v>0</v>
      </c>
      <c r="D974" s="59"/>
      <c r="E974" s="58"/>
      <c r="F974" s="69"/>
    </row>
    <row r="975" ht="15.75" customHeight="1">
      <c r="B975" s="65"/>
      <c r="C975" s="37">
        <f>SUMIF(Carico!$B$3:$B$975,B975,Carico!$C$3:$C$975)-(SUMIF(Scarico!$B$3:$B$997,B975,Scarico!$C$3:$C$997))+$D$4:$D$987</f>
        <v>0</v>
      </c>
      <c r="D975" s="59"/>
      <c r="E975" s="58"/>
      <c r="F975" s="69"/>
    </row>
    <row r="976" ht="15.75" customHeight="1">
      <c r="B976" s="65"/>
      <c r="C976" s="37">
        <f>SUMIF(Carico!$B$3:$B$975,B976,Carico!$C$3:$C$975)-(SUMIF(Scarico!$B$3:$B$997,B976,Scarico!$C$3:$C$997))+$D$4:$D$987</f>
        <v>0</v>
      </c>
      <c r="D976" s="59"/>
      <c r="E976" s="58"/>
      <c r="F976" s="69"/>
    </row>
    <row r="977" ht="15.75" customHeight="1">
      <c r="B977" s="65"/>
      <c r="C977" s="37">
        <f>SUMIF(Carico!$B$3:$B$975,B977,Carico!$C$3:$C$975)-(SUMIF(Scarico!$B$3:$B$997,B977,Scarico!$C$3:$C$997))+$D$4:$D$987</f>
        <v>0</v>
      </c>
      <c r="D977" s="59"/>
      <c r="E977" s="58"/>
      <c r="F977" s="69"/>
    </row>
    <row r="978" ht="15.75" customHeight="1">
      <c r="B978" s="65"/>
      <c r="C978" s="37">
        <f>SUMIF(Carico!$B$3:$B$975,B978,Carico!$C$3:$C$975)-(SUMIF(Scarico!$B$3:$B$997,B978,Scarico!$C$3:$C$997))+$D$4:$D$987</f>
        <v>0</v>
      </c>
      <c r="D978" s="59"/>
      <c r="E978" s="58"/>
      <c r="F978" s="69"/>
    </row>
    <row r="979" ht="15.75" customHeight="1">
      <c r="B979" s="65"/>
      <c r="C979" s="37">
        <f>SUMIF(Carico!$B$3:$B$975,B979,Carico!$C$3:$C$975)-(SUMIF(Scarico!$B$3:$B$997,B979,Scarico!$C$3:$C$997))+$D$4:$D$987</f>
        <v>0</v>
      </c>
      <c r="D979" s="59"/>
      <c r="E979" s="58"/>
      <c r="F979" s="69"/>
    </row>
    <row r="980" ht="15.75" customHeight="1">
      <c r="B980" s="65"/>
      <c r="C980" s="37">
        <f>SUMIF(Carico!$B$3:$B$975,B980,Carico!$C$3:$C$975)-(SUMIF(Scarico!$B$3:$B$997,B980,Scarico!$C$3:$C$997))+$D$4:$D$987</f>
        <v>0</v>
      </c>
      <c r="D980" s="59"/>
      <c r="E980" s="58"/>
      <c r="F980" s="69"/>
    </row>
    <row r="981" ht="15.75" customHeight="1">
      <c r="B981" s="65"/>
      <c r="C981" s="37">
        <f>SUMIF(Carico!$B$3:$B$975,B981,Carico!$C$3:$C$975)-(SUMIF(Scarico!$B$3:$B$997,B981,Scarico!$C$3:$C$997))+$D$4:$D$987</f>
        <v>0</v>
      </c>
      <c r="D981" s="59"/>
      <c r="E981" s="58"/>
      <c r="F981" s="69"/>
    </row>
    <row r="982" ht="15.75" customHeight="1">
      <c r="B982" s="65"/>
      <c r="C982" s="37">
        <f>SUMIF(Carico!$B$3:$B$975,B982,Carico!$C$3:$C$975)-(SUMIF(Scarico!$B$3:$B$997,B982,Scarico!$C$3:$C$997))+$D$4:$D$987</f>
        <v>0</v>
      </c>
      <c r="D982" s="59"/>
      <c r="E982" s="58"/>
      <c r="F982" s="69"/>
    </row>
    <row r="983" ht="15.75" customHeight="1">
      <c r="B983" s="65"/>
      <c r="C983" s="37">
        <f>SUMIF(Carico!$B$3:$B$975,B983,Carico!$C$3:$C$975)-(SUMIF(Scarico!$B$3:$B$997,B983,Scarico!$C$3:$C$997))+$D$4:$D$987</f>
        <v>0</v>
      </c>
      <c r="D983" s="59"/>
      <c r="E983" s="58"/>
      <c r="F983" s="69"/>
    </row>
    <row r="984" ht="15.75" customHeight="1">
      <c r="B984" s="65"/>
      <c r="C984" s="37">
        <f>SUMIF(Carico!$B$3:$B$975,B984,Carico!$C$3:$C$975)-(SUMIF(Scarico!$B$3:$B$997,B984,Scarico!$C$3:$C$997))+$D$4:$D$987</f>
        <v>0</v>
      </c>
      <c r="D984" s="59"/>
      <c r="E984" s="58"/>
      <c r="F984" s="69"/>
    </row>
    <row r="985" ht="15.75" customHeight="1">
      <c r="B985" s="65"/>
      <c r="C985" s="37">
        <f>SUMIF(Carico!$B$3:$B$975,B985,Carico!$C$3:$C$975)-(SUMIF(Scarico!$B$3:$B$997,B985,Scarico!$C$3:$C$997))+$D$4:$D$987</f>
        <v>0</v>
      </c>
      <c r="D985" s="59"/>
      <c r="E985" s="58"/>
      <c r="F985" s="69"/>
    </row>
    <row r="986" ht="15.75" customHeight="1">
      <c r="B986" s="65"/>
      <c r="C986" s="37">
        <f>SUMIF(Carico!$B$3:$B$975,B986,Carico!$C$3:$C$975)-(SUMIF(Scarico!$B$3:$B$997,B986,Scarico!$C$3:$C$997))+$D$4:$D$987</f>
        <v>0</v>
      </c>
      <c r="D986" s="59"/>
      <c r="E986" s="58"/>
      <c r="F986" s="69"/>
    </row>
    <row r="987" ht="15.75" customHeight="1">
      <c r="B987" s="65"/>
      <c r="C987" s="37">
        <f>SUMIF(Carico!$B$3:$B$975,B987,Carico!$C$3:$C$975)-(SUMIF(Scarico!$B$3:$B$997,B987,Scarico!$C$3:$C$997))+$D$4:$D$987</f>
        <v>0</v>
      </c>
      <c r="D987" s="59"/>
      <c r="E987" s="58"/>
      <c r="F987" s="69"/>
    </row>
    <row r="988" ht="15.75" customHeight="1">
      <c r="B988" s="76"/>
      <c r="C988" s="37"/>
      <c r="D988" s="77"/>
      <c r="E988" s="58"/>
    </row>
    <row r="989" ht="15.75" customHeight="1">
      <c r="B989" s="76"/>
      <c r="C989" s="37"/>
      <c r="D989" s="77"/>
      <c r="E989" s="58"/>
    </row>
    <row r="990" ht="15.75" customHeight="1">
      <c r="B990" s="76"/>
      <c r="C990" s="37"/>
      <c r="D990" s="77"/>
      <c r="E990" s="58"/>
    </row>
    <row r="991" ht="15.75" customHeight="1">
      <c r="B991" s="76"/>
      <c r="C991" s="37"/>
      <c r="D991" s="77"/>
      <c r="E991" s="58"/>
    </row>
    <row r="992" ht="15.75" customHeight="1">
      <c r="B992" s="76"/>
      <c r="C992" s="37"/>
      <c r="D992" s="77"/>
      <c r="E992" s="58"/>
    </row>
    <row r="993" ht="15.75" customHeight="1">
      <c r="B993" s="76"/>
      <c r="C993" s="37"/>
      <c r="D993" s="77"/>
      <c r="E993" s="58"/>
    </row>
    <row r="994" ht="15.75" customHeight="1">
      <c r="B994" s="76"/>
      <c r="C994" s="37"/>
      <c r="D994" s="77"/>
      <c r="E994" s="58"/>
    </row>
    <row r="995" ht="15.75" customHeight="1">
      <c r="B995" s="76"/>
      <c r="C995" s="37"/>
      <c r="D995" s="77"/>
      <c r="E995" s="58"/>
    </row>
    <row r="996" ht="15.75" customHeight="1">
      <c r="B996" s="76"/>
      <c r="C996" s="37"/>
      <c r="D996" s="77"/>
      <c r="E996" s="58"/>
    </row>
    <row r="997" ht="15.75" customHeight="1">
      <c r="B997" s="76"/>
      <c r="C997" s="37"/>
      <c r="D997" s="77"/>
      <c r="E997" s="58"/>
    </row>
    <row r="998" ht="15.75" customHeight="1">
      <c r="B998" s="76"/>
      <c r="C998" s="37"/>
      <c r="D998" s="77"/>
      <c r="E998" s="58"/>
    </row>
    <row r="999" ht="15.75" customHeight="1">
      <c r="B999" s="76"/>
      <c r="C999" s="37"/>
      <c r="D999" s="77"/>
      <c r="E999" s="58"/>
    </row>
    <row r="1000" ht="15.75" customHeight="1">
      <c r="B1000" s="76"/>
      <c r="C1000" s="37"/>
      <c r="D1000" s="77"/>
      <c r="E1000" s="58"/>
    </row>
    <row r="1001" ht="15.75" customHeight="1">
      <c r="B1001" s="76"/>
      <c r="C1001" s="37"/>
      <c r="D1001" s="77"/>
      <c r="E1001" s="58"/>
    </row>
    <row r="1002" ht="15.75" customHeight="1">
      <c r="B1002" s="76"/>
      <c r="C1002" s="37"/>
      <c r="D1002" s="77"/>
      <c r="E1002" s="58"/>
    </row>
    <row r="1003" ht="15.75" customHeight="1">
      <c r="B1003" s="76"/>
      <c r="C1003" s="37"/>
      <c r="D1003" s="77"/>
      <c r="E1003" s="58"/>
    </row>
    <row r="1004" ht="15.75" customHeight="1">
      <c r="B1004" s="76"/>
      <c r="C1004" s="37"/>
      <c r="D1004" s="77"/>
      <c r="E1004" s="58"/>
    </row>
    <row r="1005" ht="15.75" customHeight="1">
      <c r="B1005" s="76"/>
      <c r="C1005" s="37"/>
      <c r="D1005" s="77"/>
      <c r="E1005" s="58"/>
    </row>
    <row r="1006" ht="15.75" customHeight="1">
      <c r="B1006" s="76"/>
      <c r="C1006" s="37"/>
      <c r="D1006" s="77"/>
      <c r="E1006" s="58"/>
    </row>
    <row r="1007" ht="15.75" customHeight="1">
      <c r="B1007" s="76"/>
      <c r="C1007" s="37"/>
      <c r="D1007" s="77"/>
      <c r="E1007" s="58"/>
    </row>
    <row r="1008" ht="15.75" customHeight="1">
      <c r="B1008" s="76"/>
      <c r="C1008" s="37"/>
      <c r="D1008" s="77"/>
      <c r="E1008" s="58"/>
    </row>
    <row r="1009" ht="15.75" customHeight="1">
      <c r="B1009" s="76"/>
      <c r="C1009" s="37"/>
      <c r="D1009" s="77"/>
      <c r="E1009" s="58"/>
    </row>
    <row r="1010" ht="15.75" customHeight="1">
      <c r="B1010" s="76"/>
      <c r="C1010" s="37"/>
      <c r="D1010" s="77"/>
      <c r="E1010" s="58"/>
    </row>
    <row r="1011" ht="15.75" customHeight="1">
      <c r="B1011" s="76"/>
      <c r="C1011" s="37"/>
      <c r="D1011" s="77"/>
      <c r="E1011" s="58"/>
    </row>
    <row r="1012" ht="15.75" customHeight="1">
      <c r="B1012" s="76"/>
      <c r="C1012" s="37"/>
      <c r="D1012" s="77"/>
      <c r="E1012" s="58"/>
    </row>
    <row r="1013" ht="15.75" customHeight="1">
      <c r="B1013" s="76"/>
      <c r="C1013" s="37"/>
      <c r="D1013" s="77"/>
      <c r="E1013" s="58"/>
    </row>
    <row r="1014" ht="15.75" customHeight="1">
      <c r="B1014" s="76"/>
      <c r="C1014" s="37"/>
      <c r="D1014" s="77"/>
      <c r="E1014" s="58"/>
    </row>
    <row r="1015" ht="15.75" customHeight="1">
      <c r="B1015" s="76"/>
      <c r="C1015" s="37"/>
      <c r="D1015" s="77"/>
      <c r="E1015" s="58"/>
    </row>
    <row r="1016" ht="15.75" customHeight="1">
      <c r="B1016" s="76"/>
      <c r="C1016" s="37"/>
      <c r="D1016" s="77"/>
      <c r="E1016" s="58"/>
    </row>
    <row r="1017" ht="15.75" customHeight="1">
      <c r="B1017" s="76"/>
      <c r="C1017" s="37"/>
      <c r="D1017" s="77"/>
      <c r="E1017" s="58"/>
    </row>
    <row r="1018" ht="15.75" customHeight="1">
      <c r="B1018" s="76"/>
      <c r="C1018" s="37"/>
      <c r="D1018" s="77"/>
      <c r="E1018" s="58"/>
    </row>
    <row r="1019" ht="15.75" customHeight="1">
      <c r="B1019" s="76"/>
      <c r="C1019" s="37"/>
      <c r="D1019" s="77"/>
      <c r="E1019" s="58"/>
    </row>
    <row r="1020" ht="15.75" customHeight="1">
      <c r="B1020" s="76"/>
      <c r="C1020" s="37"/>
      <c r="D1020" s="77"/>
      <c r="E1020" s="58"/>
    </row>
    <row r="1021" ht="15.75" customHeight="1">
      <c r="B1021" s="76"/>
      <c r="C1021" s="37"/>
      <c r="D1021" s="77"/>
      <c r="E1021" s="58"/>
    </row>
    <row r="1022" ht="15.75" customHeight="1">
      <c r="B1022" s="76"/>
      <c r="C1022" s="37"/>
      <c r="D1022" s="77"/>
      <c r="E1022" s="58"/>
    </row>
    <row r="1023" ht="15.75" customHeight="1">
      <c r="B1023" s="76"/>
      <c r="C1023" s="37"/>
      <c r="D1023" s="77"/>
      <c r="E1023" s="58"/>
    </row>
    <row r="1024" ht="15.75" customHeight="1">
      <c r="B1024" s="76"/>
      <c r="C1024" s="37"/>
      <c r="D1024" s="77"/>
      <c r="E1024" s="58"/>
    </row>
    <row r="1025" ht="15.75" customHeight="1">
      <c r="B1025" s="76"/>
      <c r="C1025" s="37"/>
      <c r="D1025" s="77"/>
      <c r="E1025" s="58"/>
    </row>
    <row r="1026" ht="15.75" customHeight="1">
      <c r="B1026" s="76"/>
      <c r="C1026" s="37"/>
      <c r="D1026" s="77"/>
      <c r="E1026" s="58"/>
    </row>
    <row r="1027" ht="15.75" customHeight="1">
      <c r="B1027" s="76"/>
      <c r="C1027" s="37"/>
      <c r="D1027" s="77"/>
      <c r="E1027" s="58"/>
    </row>
    <row r="1028" ht="15.75" customHeight="1">
      <c r="B1028" s="76"/>
      <c r="C1028" s="37"/>
      <c r="D1028" s="77"/>
      <c r="E1028" s="58"/>
    </row>
    <row r="1029" ht="15.75" customHeight="1">
      <c r="B1029" s="76"/>
      <c r="C1029" s="37"/>
      <c r="D1029" s="77"/>
      <c r="E1029" s="58"/>
    </row>
    <row r="1030" ht="15.75" customHeight="1">
      <c r="B1030" s="76"/>
      <c r="C1030" s="37"/>
      <c r="D1030" s="77"/>
      <c r="E1030" s="58"/>
    </row>
    <row r="1031" ht="15.75" customHeight="1">
      <c r="B1031" s="76"/>
      <c r="C1031" s="37"/>
      <c r="D1031" s="77"/>
      <c r="E1031" s="58"/>
    </row>
    <row r="1032" ht="15.75" customHeight="1">
      <c r="B1032" s="76"/>
      <c r="C1032" s="37"/>
      <c r="D1032" s="77"/>
      <c r="E1032" s="58"/>
    </row>
    <row r="1033" ht="15.75" customHeight="1">
      <c r="B1033" s="76"/>
      <c r="C1033" s="37"/>
      <c r="D1033" s="77"/>
      <c r="E1033" s="58"/>
    </row>
    <row r="1034" ht="15.75" customHeight="1">
      <c r="B1034" s="76"/>
      <c r="C1034" s="37"/>
      <c r="D1034" s="77"/>
      <c r="E1034" s="58"/>
    </row>
    <row r="1035" ht="15.75" customHeight="1">
      <c r="B1035" s="76"/>
      <c r="C1035" s="37"/>
      <c r="D1035" s="77"/>
      <c r="E1035" s="58"/>
    </row>
    <row r="1036" ht="15.75" customHeight="1">
      <c r="B1036" s="76"/>
      <c r="C1036" s="37"/>
      <c r="D1036" s="77"/>
      <c r="E1036" s="58"/>
    </row>
    <row r="1037" ht="15.75" customHeight="1">
      <c r="B1037" s="76"/>
      <c r="C1037" s="37"/>
      <c r="D1037" s="77"/>
      <c r="E1037" s="58"/>
    </row>
    <row r="1038" ht="15.75" customHeight="1">
      <c r="B1038" s="76"/>
      <c r="C1038" s="37"/>
      <c r="D1038" s="77"/>
      <c r="E1038" s="58"/>
    </row>
    <row r="1039" ht="15.75" customHeight="1">
      <c r="B1039" s="76"/>
      <c r="C1039" s="37"/>
      <c r="D1039" s="77"/>
      <c r="E1039" s="58"/>
    </row>
    <row r="1040" ht="15.75" customHeight="1">
      <c r="B1040" s="76"/>
      <c r="C1040" s="37"/>
      <c r="D1040" s="77"/>
      <c r="E1040" s="58"/>
    </row>
    <row r="1041" ht="15.75" customHeight="1">
      <c r="B1041" s="76"/>
      <c r="C1041" s="37"/>
      <c r="D1041" s="77"/>
      <c r="E1041" s="58"/>
    </row>
    <row r="1042" ht="15.75" customHeight="1">
      <c r="B1042" s="76"/>
      <c r="C1042" s="37"/>
      <c r="D1042" s="77"/>
      <c r="E1042" s="58"/>
    </row>
    <row r="1043" ht="15.75" customHeight="1">
      <c r="B1043" s="76"/>
      <c r="C1043" s="37"/>
      <c r="D1043" s="77"/>
      <c r="E1043" s="58"/>
    </row>
    <row r="1044" ht="15.75" customHeight="1">
      <c r="B1044" s="76"/>
      <c r="C1044" s="37"/>
      <c r="D1044" s="77"/>
      <c r="E1044" s="58"/>
    </row>
    <row r="1045" ht="15.75" customHeight="1">
      <c r="B1045" s="76"/>
      <c r="C1045" s="37"/>
      <c r="D1045" s="77"/>
      <c r="E1045" s="58"/>
    </row>
    <row r="1046" ht="15.75" customHeight="1">
      <c r="B1046" s="76"/>
      <c r="C1046" s="37"/>
      <c r="D1046" s="77"/>
      <c r="E1046" s="58"/>
    </row>
    <row r="1047" ht="15.75" customHeight="1">
      <c r="B1047" s="76"/>
      <c r="C1047" s="37"/>
      <c r="D1047" s="77"/>
      <c r="E1047" s="58"/>
    </row>
    <row r="1048" ht="15.75" customHeight="1">
      <c r="B1048" s="76"/>
      <c r="C1048" s="37"/>
      <c r="D1048" s="77"/>
      <c r="E1048" s="58"/>
    </row>
    <row r="1049" ht="15.75" customHeight="1">
      <c r="B1049" s="76"/>
      <c r="C1049" s="37"/>
      <c r="D1049" s="77"/>
      <c r="E1049" s="58"/>
    </row>
    <row r="1050" ht="15.75" customHeight="1">
      <c r="B1050" s="76"/>
      <c r="C1050" s="37"/>
      <c r="D1050" s="77"/>
      <c r="E1050" s="58"/>
    </row>
    <row r="1051" ht="15.75" customHeight="1">
      <c r="B1051" s="76"/>
      <c r="C1051" s="37"/>
      <c r="D1051" s="77"/>
      <c r="E1051" s="58"/>
    </row>
    <row r="1052" ht="15.75" customHeight="1">
      <c r="B1052" s="76"/>
      <c r="C1052" s="37"/>
      <c r="D1052" s="77"/>
      <c r="E1052" s="58"/>
    </row>
    <row r="1053" ht="15.75" customHeight="1">
      <c r="B1053" s="76"/>
      <c r="C1053" s="37"/>
      <c r="D1053" s="77"/>
      <c r="E1053" s="58"/>
    </row>
    <row r="1054" ht="15.75" customHeight="1">
      <c r="B1054" s="76"/>
      <c r="C1054" s="37"/>
      <c r="D1054" s="77"/>
      <c r="E1054" s="58"/>
    </row>
    <row r="1055" ht="15.75" customHeight="1">
      <c r="B1055" s="76"/>
      <c r="C1055" s="37"/>
      <c r="D1055" s="77"/>
      <c r="E1055" s="58"/>
    </row>
    <row r="1056" ht="15.75" customHeight="1">
      <c r="B1056" s="76"/>
      <c r="C1056" s="37"/>
      <c r="D1056" s="77"/>
      <c r="E1056" s="58"/>
    </row>
    <row r="1057" ht="15.75" customHeight="1">
      <c r="B1057" s="76"/>
      <c r="C1057" s="37"/>
      <c r="D1057" s="77"/>
      <c r="E1057" s="58"/>
    </row>
    <row r="1058" ht="15.75" customHeight="1">
      <c r="B1058" s="76"/>
      <c r="C1058" s="37"/>
      <c r="D1058" s="77"/>
      <c r="E1058" s="58"/>
    </row>
    <row r="1059" ht="15.75" customHeight="1">
      <c r="B1059" s="76"/>
      <c r="C1059" s="37"/>
      <c r="D1059" s="77"/>
      <c r="E1059" s="58"/>
    </row>
    <row r="1060" ht="15.75" customHeight="1">
      <c r="B1060" s="76"/>
      <c r="C1060" s="37"/>
      <c r="D1060" s="77"/>
      <c r="E1060" s="58"/>
    </row>
    <row r="1061" ht="15.75" customHeight="1">
      <c r="B1061" s="76"/>
      <c r="C1061" s="37"/>
      <c r="D1061" s="77"/>
      <c r="E1061" s="58"/>
    </row>
    <row r="1062" ht="15.75" customHeight="1">
      <c r="B1062" s="76"/>
      <c r="C1062" s="37"/>
      <c r="D1062" s="77"/>
      <c r="E1062" s="58"/>
    </row>
    <row r="1063" ht="15.75" customHeight="1">
      <c r="B1063" s="76"/>
      <c r="C1063" s="37"/>
      <c r="D1063" s="77"/>
      <c r="E1063" s="58"/>
    </row>
    <row r="1064" ht="15.75" customHeight="1">
      <c r="B1064" s="76"/>
      <c r="C1064" s="37"/>
      <c r="D1064" s="77"/>
      <c r="E1064" s="58"/>
    </row>
    <row r="1065" ht="15.75" customHeight="1">
      <c r="B1065" s="76"/>
      <c r="C1065" s="37"/>
      <c r="D1065" s="77"/>
      <c r="E1065" s="58"/>
    </row>
    <row r="1066" ht="15.75" customHeight="1">
      <c r="B1066" s="76"/>
      <c r="C1066" s="37"/>
      <c r="D1066" s="77"/>
      <c r="E1066" s="58"/>
    </row>
    <row r="1067" ht="15.75" customHeight="1">
      <c r="B1067" s="76"/>
      <c r="C1067" s="37"/>
      <c r="D1067" s="77"/>
      <c r="E1067" s="58"/>
    </row>
    <row r="1068" ht="15.75" customHeight="1">
      <c r="B1068" s="76"/>
      <c r="C1068" s="37"/>
      <c r="D1068" s="77"/>
      <c r="E1068" s="58"/>
    </row>
    <row r="1069" ht="15.75" customHeight="1">
      <c r="B1069" s="76"/>
      <c r="C1069" s="37"/>
      <c r="D1069" s="77"/>
      <c r="E1069" s="58"/>
    </row>
    <row r="1070" ht="15.75" customHeight="1">
      <c r="B1070" s="76"/>
      <c r="C1070" s="37"/>
      <c r="D1070" s="77"/>
      <c r="E1070" s="58"/>
    </row>
    <row r="1071" ht="15.75" customHeight="1">
      <c r="B1071" s="76"/>
      <c r="C1071" s="37"/>
      <c r="D1071" s="77"/>
      <c r="E1071" s="58"/>
    </row>
    <row r="1072" ht="15.75" customHeight="1">
      <c r="B1072" s="76"/>
      <c r="C1072" s="37"/>
      <c r="D1072" s="77"/>
      <c r="E1072" s="58"/>
    </row>
    <row r="1073" ht="15.75" customHeight="1">
      <c r="B1073" s="76"/>
      <c r="C1073" s="37"/>
      <c r="D1073" s="77"/>
      <c r="E1073" s="58"/>
    </row>
    <row r="1074" ht="15.75" customHeight="1">
      <c r="B1074" s="76"/>
      <c r="C1074" s="37"/>
      <c r="D1074" s="77"/>
      <c r="E1074" s="58"/>
    </row>
    <row r="1075" ht="15.75" customHeight="1">
      <c r="B1075" s="76"/>
      <c r="C1075" s="37"/>
      <c r="D1075" s="77"/>
      <c r="E1075" s="58"/>
    </row>
    <row r="1076" ht="15.75" customHeight="1">
      <c r="B1076" s="76"/>
      <c r="C1076" s="37"/>
      <c r="D1076" s="77"/>
      <c r="E1076" s="58"/>
    </row>
    <row r="1077" ht="15.75" customHeight="1">
      <c r="B1077" s="76"/>
      <c r="C1077" s="37"/>
      <c r="D1077" s="77"/>
      <c r="E1077" s="58"/>
    </row>
    <row r="1078" ht="15.75" customHeight="1">
      <c r="B1078" s="76"/>
      <c r="C1078" s="37"/>
      <c r="D1078" s="77"/>
      <c r="E1078" s="58"/>
    </row>
    <row r="1079" ht="15.75" customHeight="1">
      <c r="B1079" s="76"/>
      <c r="C1079" s="37"/>
      <c r="D1079" s="77"/>
      <c r="E1079" s="58"/>
    </row>
    <row r="1080" ht="15.75" customHeight="1">
      <c r="B1080" s="76"/>
      <c r="C1080" s="37"/>
      <c r="D1080" s="77"/>
      <c r="E1080" s="58"/>
    </row>
    <row r="1081" ht="15.75" customHeight="1">
      <c r="B1081" s="76"/>
      <c r="C1081" s="37"/>
      <c r="D1081" s="77"/>
      <c r="E1081" s="58"/>
    </row>
    <row r="1082" ht="15.75" customHeight="1">
      <c r="B1082" s="76"/>
      <c r="C1082" s="37"/>
      <c r="D1082" s="77"/>
      <c r="E1082" s="58"/>
    </row>
    <row r="1083" ht="15.75" customHeight="1">
      <c r="B1083" s="76"/>
      <c r="C1083" s="37"/>
      <c r="D1083" s="77"/>
      <c r="E1083" s="58"/>
    </row>
    <row r="1084" ht="15.75" customHeight="1">
      <c r="B1084" s="76"/>
      <c r="C1084" s="37"/>
      <c r="D1084" s="77"/>
      <c r="E1084" s="58"/>
    </row>
    <row r="1085" ht="15.75" customHeight="1">
      <c r="B1085" s="76"/>
      <c r="C1085" s="37"/>
      <c r="D1085" s="77"/>
      <c r="E1085" s="58"/>
    </row>
    <row r="1086" ht="15.75" customHeight="1">
      <c r="B1086" s="76"/>
      <c r="C1086" s="37"/>
      <c r="D1086" s="77"/>
      <c r="E1086" s="58"/>
    </row>
    <row r="1087" ht="15.75" customHeight="1">
      <c r="B1087" s="76"/>
      <c r="C1087" s="37"/>
      <c r="D1087" s="77"/>
      <c r="E1087" s="58"/>
    </row>
    <row r="1088" ht="15.75" customHeight="1">
      <c r="B1088" s="76"/>
      <c r="C1088" s="37"/>
      <c r="D1088" s="77"/>
      <c r="E1088" s="58"/>
    </row>
    <row r="1089" ht="15.75" customHeight="1">
      <c r="B1089" s="76"/>
      <c r="C1089" s="37"/>
      <c r="D1089" s="77"/>
      <c r="E1089" s="58"/>
    </row>
    <row r="1090" ht="15.75" customHeight="1">
      <c r="B1090" s="76"/>
      <c r="C1090" s="37"/>
      <c r="D1090" s="77"/>
      <c r="E1090" s="58"/>
    </row>
    <row r="1091" ht="15.75" customHeight="1">
      <c r="B1091" s="76"/>
      <c r="C1091" s="37"/>
      <c r="D1091" s="77"/>
      <c r="E1091" s="58"/>
    </row>
    <row r="1092" ht="15.75" customHeight="1">
      <c r="B1092" s="76"/>
      <c r="C1092" s="37"/>
      <c r="D1092" s="77"/>
      <c r="E1092" s="58"/>
    </row>
    <row r="1093" ht="15.75" customHeight="1">
      <c r="B1093" s="76"/>
      <c r="C1093" s="37"/>
      <c r="D1093" s="77"/>
      <c r="E1093" s="58"/>
    </row>
    <row r="1094" ht="15.75" customHeight="1">
      <c r="B1094" s="76"/>
      <c r="C1094" s="37"/>
      <c r="D1094" s="77"/>
      <c r="E1094" s="58"/>
    </row>
    <row r="1095" ht="15.75" customHeight="1">
      <c r="B1095" s="76"/>
      <c r="C1095" s="37"/>
      <c r="D1095" s="77"/>
      <c r="E1095" s="58"/>
    </row>
    <row r="1096" ht="15.75" customHeight="1">
      <c r="B1096" s="76"/>
      <c r="C1096" s="37"/>
      <c r="D1096" s="77"/>
      <c r="E1096" s="58"/>
    </row>
    <row r="1097" ht="15.75" customHeight="1">
      <c r="B1097" s="76"/>
      <c r="C1097" s="37"/>
      <c r="D1097" s="77"/>
      <c r="E1097" s="58"/>
    </row>
    <row r="1098" ht="15.75" customHeight="1">
      <c r="B1098" s="76"/>
      <c r="C1098" s="37"/>
      <c r="D1098" s="77"/>
      <c r="E1098" s="58"/>
    </row>
    <row r="1099" ht="15.75" customHeight="1">
      <c r="B1099" s="76"/>
      <c r="C1099" s="37"/>
      <c r="D1099" s="77"/>
      <c r="E1099" s="58"/>
    </row>
    <row r="1100" ht="15.75" customHeight="1">
      <c r="B1100" s="76"/>
      <c r="C1100" s="37"/>
      <c r="D1100" s="77"/>
      <c r="E1100" s="58"/>
    </row>
    <row r="1101" ht="15.75" customHeight="1">
      <c r="B1101" s="76"/>
      <c r="C1101" s="37"/>
      <c r="D1101" s="77"/>
      <c r="E1101" s="58"/>
    </row>
    <row r="1102" ht="15.75" customHeight="1">
      <c r="B1102" s="76"/>
      <c r="C1102" s="37"/>
      <c r="D1102" s="77"/>
      <c r="E1102" s="58"/>
    </row>
    <row r="1103" ht="15.75" customHeight="1">
      <c r="B1103" s="76"/>
      <c r="C1103" s="37"/>
      <c r="D1103" s="77"/>
      <c r="E1103" s="58"/>
    </row>
    <row r="1104" ht="15.75" customHeight="1">
      <c r="B1104" s="76"/>
      <c r="C1104" s="37"/>
      <c r="D1104" s="77"/>
      <c r="E1104" s="58"/>
    </row>
    <row r="1105" ht="15.75" customHeight="1">
      <c r="B1105" s="76"/>
      <c r="C1105" s="37"/>
      <c r="D1105" s="77"/>
      <c r="E1105" s="58"/>
    </row>
    <row r="1106" ht="15.75" customHeight="1">
      <c r="B1106" s="76"/>
      <c r="C1106" s="37"/>
      <c r="D1106" s="77"/>
      <c r="E1106" s="58"/>
    </row>
    <row r="1107" ht="15.75" customHeight="1">
      <c r="B1107" s="76"/>
      <c r="C1107" s="37"/>
      <c r="D1107" s="77"/>
      <c r="E1107" s="58"/>
    </row>
    <row r="1108" ht="15.75" customHeight="1">
      <c r="B1108" s="76"/>
      <c r="C1108" s="37"/>
      <c r="D1108" s="77"/>
      <c r="E1108" s="58"/>
    </row>
    <row r="1109" ht="15.75" customHeight="1">
      <c r="B1109" s="76"/>
      <c r="C1109" s="37"/>
      <c r="D1109" s="77"/>
      <c r="E1109" s="58"/>
    </row>
    <row r="1110" ht="15.75" customHeight="1">
      <c r="B1110" s="76"/>
      <c r="C1110" s="37"/>
      <c r="D1110" s="77"/>
      <c r="E1110" s="58"/>
    </row>
    <row r="1111" ht="15.75" customHeight="1">
      <c r="B1111" s="76"/>
      <c r="C1111" s="37"/>
      <c r="D1111" s="77"/>
      <c r="E1111" s="58"/>
    </row>
    <row r="1112" ht="15.75" customHeight="1">
      <c r="B1112" s="76"/>
      <c r="C1112" s="37"/>
      <c r="D1112" s="77"/>
      <c r="E1112" s="58"/>
    </row>
    <row r="1113" ht="15.75" customHeight="1">
      <c r="B1113" s="76"/>
      <c r="C1113" s="37"/>
      <c r="D1113" s="77"/>
      <c r="E1113" s="58"/>
    </row>
    <row r="1114" ht="15.75" customHeight="1">
      <c r="B1114" s="76"/>
      <c r="C1114" s="37"/>
      <c r="D1114" s="77"/>
      <c r="E1114" s="58"/>
    </row>
    <row r="1115" ht="15.75" customHeight="1">
      <c r="B1115" s="76"/>
      <c r="C1115" s="37"/>
      <c r="D1115" s="77"/>
      <c r="E1115" s="58"/>
    </row>
    <row r="1116" ht="15.75" customHeight="1">
      <c r="B1116" s="76"/>
      <c r="C1116" s="37"/>
      <c r="D1116" s="77"/>
      <c r="E1116" s="58"/>
    </row>
    <row r="1117" ht="15.75" customHeight="1">
      <c r="B1117" s="76"/>
      <c r="C1117" s="37"/>
      <c r="D1117" s="77"/>
      <c r="E1117" s="58"/>
    </row>
    <row r="1118" ht="15.75" customHeight="1">
      <c r="B1118" s="76"/>
      <c r="C1118" s="37"/>
      <c r="D1118" s="77"/>
      <c r="E1118" s="58"/>
    </row>
    <row r="1119" ht="15.75" customHeight="1">
      <c r="B1119" s="76"/>
      <c r="C1119" s="37"/>
      <c r="D1119" s="77"/>
      <c r="E1119" s="58"/>
    </row>
    <row r="1120" ht="15.75" customHeight="1">
      <c r="B1120" s="76"/>
      <c r="C1120" s="37"/>
      <c r="D1120" s="77"/>
      <c r="E1120" s="58"/>
    </row>
    <row r="1121" ht="15.75" customHeight="1">
      <c r="B1121" s="76"/>
      <c r="C1121" s="37"/>
      <c r="D1121" s="77"/>
      <c r="E1121" s="58"/>
    </row>
    <row r="1122" ht="15.75" customHeight="1">
      <c r="B1122" s="76"/>
      <c r="C1122" s="37"/>
      <c r="D1122" s="77"/>
      <c r="E1122" s="58"/>
    </row>
    <row r="1123" ht="15.75" customHeight="1">
      <c r="B1123" s="76"/>
      <c r="C1123" s="37"/>
      <c r="D1123" s="77"/>
      <c r="E1123" s="58"/>
    </row>
    <row r="1124" ht="15.75" customHeight="1">
      <c r="B1124" s="76"/>
      <c r="C1124" s="37"/>
      <c r="D1124" s="77"/>
      <c r="E1124" s="58"/>
    </row>
    <row r="1125" ht="15.75" customHeight="1">
      <c r="B1125" s="76"/>
      <c r="C1125" s="37"/>
      <c r="D1125" s="77"/>
      <c r="E1125" s="58"/>
    </row>
    <row r="1126" ht="15.75" customHeight="1">
      <c r="B1126" s="76"/>
      <c r="C1126" s="37"/>
      <c r="D1126" s="77"/>
      <c r="E1126" s="58"/>
    </row>
    <row r="1127" ht="15.75" customHeight="1">
      <c r="B1127" s="76"/>
      <c r="C1127" s="37"/>
      <c r="D1127" s="77"/>
      <c r="E1127" s="58"/>
    </row>
    <row r="1128" ht="15.75" customHeight="1">
      <c r="B1128" s="76"/>
      <c r="C1128" s="37"/>
      <c r="D1128" s="77"/>
      <c r="E1128" s="58"/>
    </row>
    <row r="1129" ht="15.75" customHeight="1">
      <c r="B1129" s="76"/>
      <c r="C1129" s="37"/>
      <c r="D1129" s="77"/>
      <c r="E1129" s="58"/>
    </row>
    <row r="1130" ht="15.75" customHeight="1">
      <c r="B1130" s="76"/>
      <c r="C1130" s="37"/>
      <c r="D1130" s="77"/>
      <c r="E1130" s="58"/>
    </row>
    <row r="1131" ht="15.75" customHeight="1">
      <c r="B1131" s="76"/>
      <c r="C1131" s="37"/>
      <c r="D1131" s="77"/>
      <c r="E1131" s="58"/>
    </row>
    <row r="1132" ht="15.75" customHeight="1">
      <c r="B1132" s="76"/>
      <c r="C1132" s="37"/>
      <c r="D1132" s="77"/>
      <c r="E1132" s="58"/>
    </row>
    <row r="1133" ht="15.75" customHeight="1">
      <c r="B1133" s="76"/>
      <c r="C1133" s="37"/>
      <c r="D1133" s="77"/>
      <c r="E1133" s="58"/>
    </row>
    <row r="1134" ht="15.75" customHeight="1">
      <c r="B1134" s="76"/>
      <c r="C1134" s="37"/>
      <c r="D1134" s="77"/>
      <c r="E1134" s="58"/>
    </row>
    <row r="1135" ht="15.75" customHeight="1">
      <c r="B1135" s="76"/>
      <c r="C1135" s="37"/>
      <c r="D1135" s="77"/>
      <c r="E1135" s="58"/>
    </row>
    <row r="1136" ht="15.75" customHeight="1">
      <c r="B1136" s="76"/>
      <c r="C1136" s="37"/>
      <c r="D1136" s="77"/>
      <c r="E1136" s="58"/>
    </row>
    <row r="1137" ht="15.75" customHeight="1">
      <c r="B1137" s="76"/>
      <c r="C1137" s="37"/>
      <c r="D1137" s="77"/>
      <c r="E1137" s="58"/>
    </row>
    <row r="1138" ht="15.75" customHeight="1">
      <c r="B1138" s="76"/>
      <c r="C1138" s="37"/>
      <c r="D1138" s="77"/>
      <c r="E1138" s="58"/>
    </row>
    <row r="1139" ht="15.75" customHeight="1">
      <c r="B1139" s="76"/>
      <c r="C1139" s="37"/>
      <c r="D1139" s="77"/>
      <c r="E1139" s="58"/>
    </row>
    <row r="1140" ht="15.75" customHeight="1">
      <c r="B1140" s="76"/>
      <c r="C1140" s="37"/>
      <c r="D1140" s="77"/>
      <c r="E1140" s="58"/>
    </row>
    <row r="1141" ht="15.75" customHeight="1">
      <c r="B1141" s="76"/>
      <c r="C1141" s="37"/>
      <c r="D1141" s="77"/>
      <c r="E1141" s="58"/>
    </row>
    <row r="1142" ht="15.75" customHeight="1">
      <c r="B1142" s="76"/>
      <c r="C1142" s="37"/>
      <c r="D1142" s="77"/>
      <c r="E1142" s="58"/>
    </row>
    <row r="1143" ht="15.75" customHeight="1">
      <c r="B1143" s="76"/>
      <c r="C1143" s="37"/>
      <c r="D1143" s="77"/>
      <c r="E1143" s="58"/>
    </row>
    <row r="1144" ht="15.75" customHeight="1">
      <c r="B1144" s="76"/>
      <c r="C1144" s="37"/>
      <c r="D1144" s="77"/>
      <c r="E1144" s="58"/>
    </row>
    <row r="1145" ht="15.75" customHeight="1">
      <c r="B1145" s="76"/>
      <c r="C1145" s="37"/>
      <c r="D1145" s="77"/>
      <c r="E1145" s="58"/>
    </row>
    <row r="1146" ht="15.75" customHeight="1">
      <c r="B1146" s="76"/>
      <c r="C1146" s="37"/>
      <c r="D1146" s="77"/>
      <c r="E1146" s="58"/>
    </row>
    <row r="1147" ht="15.75" customHeight="1">
      <c r="B1147" s="76"/>
      <c r="C1147" s="37"/>
      <c r="D1147" s="77"/>
      <c r="E1147" s="58"/>
    </row>
    <row r="1148" ht="15.75" customHeight="1">
      <c r="B1148" s="76"/>
      <c r="C1148" s="37"/>
      <c r="D1148" s="77"/>
      <c r="E1148" s="58"/>
    </row>
    <row r="1149" ht="15.75" customHeight="1">
      <c r="B1149" s="76"/>
      <c r="C1149" s="37"/>
      <c r="D1149" s="77"/>
      <c r="E1149" s="58"/>
    </row>
    <row r="1150" ht="15.75" customHeight="1">
      <c r="B1150" s="76"/>
      <c r="C1150" s="37"/>
      <c r="D1150" s="77"/>
      <c r="E1150" s="58"/>
    </row>
    <row r="1151" ht="15.75" customHeight="1">
      <c r="B1151" s="76"/>
      <c r="C1151" s="37"/>
      <c r="D1151" s="77"/>
      <c r="E1151" s="58"/>
    </row>
    <row r="1152" ht="15.75" customHeight="1">
      <c r="B1152" s="76"/>
      <c r="C1152" s="37"/>
      <c r="D1152" s="77"/>
      <c r="E1152" s="58"/>
    </row>
    <row r="1153" ht="15.75" customHeight="1">
      <c r="B1153" s="76"/>
      <c r="C1153" s="37"/>
      <c r="D1153" s="77"/>
      <c r="E1153" s="58"/>
    </row>
    <row r="1154" ht="15.75" customHeight="1">
      <c r="B1154" s="76"/>
      <c r="C1154" s="37"/>
      <c r="D1154" s="77"/>
      <c r="E1154" s="58"/>
    </row>
    <row r="1155" ht="15.75" customHeight="1">
      <c r="B1155" s="76"/>
      <c r="C1155" s="37"/>
      <c r="D1155" s="77"/>
      <c r="E1155" s="58"/>
    </row>
    <row r="1156" ht="15.75" customHeight="1">
      <c r="B1156" s="76"/>
      <c r="C1156" s="37"/>
      <c r="D1156" s="77"/>
      <c r="E1156" s="58"/>
    </row>
    <row r="1157" ht="15.75" customHeight="1">
      <c r="B1157" s="76"/>
      <c r="C1157" s="37"/>
      <c r="D1157" s="77"/>
      <c r="E1157" s="58"/>
    </row>
    <row r="1158" ht="15.75" customHeight="1">
      <c r="B1158" s="76"/>
      <c r="C1158" s="37"/>
      <c r="D1158" s="77"/>
      <c r="E1158" s="58"/>
    </row>
    <row r="1159" ht="15.75" customHeight="1">
      <c r="B1159" s="76"/>
      <c r="C1159" s="37"/>
      <c r="D1159" s="77"/>
      <c r="E1159" s="58"/>
    </row>
    <row r="1160" ht="15.75" customHeight="1">
      <c r="B1160" s="76"/>
      <c r="C1160" s="37"/>
      <c r="D1160" s="77"/>
      <c r="E1160" s="58"/>
    </row>
    <row r="1161" ht="15.75" customHeight="1">
      <c r="B1161" s="76"/>
      <c r="C1161" s="37"/>
      <c r="D1161" s="77"/>
      <c r="E1161" s="58"/>
    </row>
    <row r="1162" ht="15.75" customHeight="1">
      <c r="B1162" s="76"/>
      <c r="C1162" s="37"/>
      <c r="D1162" s="77"/>
      <c r="E1162" s="58"/>
    </row>
    <row r="1163" ht="15.75" customHeight="1">
      <c r="B1163" s="76"/>
      <c r="C1163" s="37"/>
      <c r="D1163" s="77"/>
      <c r="E1163" s="58"/>
    </row>
    <row r="1164" ht="15.75" customHeight="1">
      <c r="B1164" s="76"/>
      <c r="C1164" s="37"/>
      <c r="D1164" s="77"/>
      <c r="E1164" s="58"/>
    </row>
    <row r="1165" ht="15.75" customHeight="1">
      <c r="B1165" s="76"/>
      <c r="C1165" s="37"/>
      <c r="D1165" s="77"/>
      <c r="E1165" s="58"/>
    </row>
    <row r="1166" ht="15.75" customHeight="1">
      <c r="B1166" s="76"/>
      <c r="C1166" s="37"/>
      <c r="D1166" s="77"/>
      <c r="E1166" s="58"/>
    </row>
    <row r="1167" ht="15.75" customHeight="1">
      <c r="B1167" s="76"/>
      <c r="C1167" s="37"/>
      <c r="D1167" s="77"/>
      <c r="E1167" s="58"/>
    </row>
    <row r="1168" ht="15.75" customHeight="1">
      <c r="B1168" s="76"/>
      <c r="C1168" s="37"/>
      <c r="D1168" s="77"/>
      <c r="E1168" s="58"/>
    </row>
    <row r="1169" ht="15.75" customHeight="1">
      <c r="B1169" s="76"/>
      <c r="C1169" s="37"/>
      <c r="D1169" s="77"/>
      <c r="E1169" s="58"/>
    </row>
    <row r="1170" ht="15.75" customHeight="1">
      <c r="B1170" s="76"/>
      <c r="C1170" s="37"/>
      <c r="D1170" s="77"/>
      <c r="E1170" s="58"/>
    </row>
    <row r="1171" ht="15.75" customHeight="1">
      <c r="B1171" s="76"/>
      <c r="C1171" s="37"/>
      <c r="D1171" s="77"/>
      <c r="E1171" s="58"/>
    </row>
    <row r="1172" ht="15.75" customHeight="1">
      <c r="B1172" s="76"/>
      <c r="C1172" s="37"/>
      <c r="D1172" s="77"/>
      <c r="E1172" s="58"/>
    </row>
    <row r="1173" ht="15.75" customHeight="1">
      <c r="B1173" s="76"/>
      <c r="C1173" s="37"/>
      <c r="D1173" s="77"/>
      <c r="E1173" s="58"/>
    </row>
    <row r="1174" ht="15.75" customHeight="1">
      <c r="B1174" s="76"/>
      <c r="C1174" s="37"/>
      <c r="D1174" s="77"/>
      <c r="E1174" s="58"/>
    </row>
    <row r="1175" ht="15.75" customHeight="1">
      <c r="B1175" s="76"/>
      <c r="C1175" s="37"/>
      <c r="D1175" s="77"/>
      <c r="E1175" s="58"/>
    </row>
    <row r="1176" ht="15.75" customHeight="1">
      <c r="B1176" s="76"/>
      <c r="C1176" s="37"/>
      <c r="D1176" s="77"/>
      <c r="E1176" s="58"/>
    </row>
    <row r="1177" ht="15.75" customHeight="1">
      <c r="B1177" s="76"/>
      <c r="C1177" s="37"/>
      <c r="D1177" s="77"/>
      <c r="E1177" s="58"/>
    </row>
    <row r="1178" ht="15.75" customHeight="1">
      <c r="B1178" s="76"/>
      <c r="C1178" s="37"/>
      <c r="D1178" s="77"/>
      <c r="E1178" s="58"/>
    </row>
    <row r="1179" ht="15.75" customHeight="1">
      <c r="B1179" s="76"/>
      <c r="C1179" s="37"/>
      <c r="D1179" s="77"/>
      <c r="E1179" s="58"/>
    </row>
    <row r="1180" ht="15.75" customHeight="1">
      <c r="B1180" s="76"/>
      <c r="C1180" s="37"/>
      <c r="D1180" s="77"/>
      <c r="E1180" s="58"/>
    </row>
    <row r="1181" ht="15.75" customHeight="1">
      <c r="B1181" s="76"/>
      <c r="C1181" s="37"/>
      <c r="D1181" s="77"/>
      <c r="E1181" s="58"/>
    </row>
    <row r="1182" ht="15.75" customHeight="1">
      <c r="B1182" s="76"/>
      <c r="C1182" s="37"/>
      <c r="D1182" s="77"/>
      <c r="E1182" s="58"/>
    </row>
    <row r="1183" ht="15.75" customHeight="1">
      <c r="B1183" s="76"/>
      <c r="C1183" s="37"/>
      <c r="D1183" s="77"/>
      <c r="E1183" s="58"/>
    </row>
    <row r="1184" ht="15.75" customHeight="1">
      <c r="B1184" s="76"/>
      <c r="C1184" s="37"/>
      <c r="D1184" s="77"/>
      <c r="E1184" s="58"/>
    </row>
    <row r="1185" ht="15.75" customHeight="1">
      <c r="B1185" s="76"/>
      <c r="C1185" s="37"/>
      <c r="D1185" s="77"/>
      <c r="E1185" s="58"/>
    </row>
    <row r="1186" ht="15.75" customHeight="1">
      <c r="B1186" s="76"/>
      <c r="C1186" s="37"/>
      <c r="D1186" s="77"/>
      <c r="E1186" s="58"/>
    </row>
    <row r="1187" ht="15.75" customHeight="1">
      <c r="B1187" s="76"/>
      <c r="C1187" s="37"/>
      <c r="D1187" s="77"/>
      <c r="E1187" s="58"/>
    </row>
    <row r="1188" ht="15.75" customHeight="1">
      <c r="B1188" s="76"/>
      <c r="C1188" s="37"/>
      <c r="D1188" s="77"/>
      <c r="E1188" s="58"/>
    </row>
    <row r="1189" ht="15.75" customHeight="1">
      <c r="B1189" s="76"/>
      <c r="C1189" s="37"/>
      <c r="D1189" s="77"/>
      <c r="E1189" s="58"/>
    </row>
    <row r="1190" ht="15.75" customHeight="1">
      <c r="B1190" s="76"/>
      <c r="C1190" s="37"/>
      <c r="D1190" s="77"/>
      <c r="E1190" s="58"/>
    </row>
    <row r="1191" ht="15.75" customHeight="1">
      <c r="B1191" s="76"/>
      <c r="C1191" s="37"/>
      <c r="D1191" s="77"/>
      <c r="E1191" s="58"/>
    </row>
    <row r="1192" ht="15.75" customHeight="1">
      <c r="B1192" s="76"/>
      <c r="C1192" s="37"/>
      <c r="D1192" s="77"/>
      <c r="E1192" s="58"/>
    </row>
    <row r="1193" ht="15.75" customHeight="1">
      <c r="B1193" s="76"/>
      <c r="C1193" s="37"/>
      <c r="D1193" s="77"/>
      <c r="E1193" s="58"/>
    </row>
    <row r="1194" ht="15.75" customHeight="1">
      <c r="B1194" s="76"/>
      <c r="C1194" s="37"/>
      <c r="D1194" s="77"/>
      <c r="E1194" s="58"/>
    </row>
    <row r="1195" ht="15.75" customHeight="1">
      <c r="B1195" s="76"/>
      <c r="C1195" s="37"/>
      <c r="D1195" s="77"/>
      <c r="E1195" s="58"/>
    </row>
    <row r="1196" ht="15.75" customHeight="1">
      <c r="B1196" s="76"/>
      <c r="C1196" s="37"/>
      <c r="D1196" s="77"/>
      <c r="E1196" s="58"/>
    </row>
    <row r="1197" ht="15.75" customHeight="1">
      <c r="B1197" s="76"/>
      <c r="C1197" s="37"/>
      <c r="D1197" s="77"/>
      <c r="E1197" s="58"/>
    </row>
    <row r="1198" ht="15.75" customHeight="1">
      <c r="B1198" s="76"/>
      <c r="C1198" s="37"/>
      <c r="D1198" s="77"/>
      <c r="E1198" s="58"/>
    </row>
    <row r="1199" ht="15.75" customHeight="1">
      <c r="B1199" s="76"/>
      <c r="C1199" s="37"/>
      <c r="D1199" s="77"/>
      <c r="E1199" s="58"/>
    </row>
    <row r="1200" ht="15.75" customHeight="1">
      <c r="B1200" s="76"/>
      <c r="C1200" s="37"/>
      <c r="D1200" s="77"/>
      <c r="E1200" s="58"/>
    </row>
    <row r="1201" ht="15.75" customHeight="1">
      <c r="B1201" s="76"/>
      <c r="C1201" s="37"/>
      <c r="D1201" s="77"/>
      <c r="E1201" s="58"/>
    </row>
    <row r="1202" ht="15.75" customHeight="1">
      <c r="B1202" s="76"/>
      <c r="C1202" s="37"/>
      <c r="D1202" s="77"/>
      <c r="E1202" s="58"/>
    </row>
    <row r="1203" ht="15.75" customHeight="1">
      <c r="B1203" s="76"/>
      <c r="C1203" s="37"/>
      <c r="D1203" s="77"/>
      <c r="E1203" s="58"/>
    </row>
    <row r="1204" ht="15.75" customHeight="1">
      <c r="B1204" s="76"/>
      <c r="C1204" s="37"/>
      <c r="D1204" s="77"/>
      <c r="E1204" s="58"/>
    </row>
    <row r="1205" ht="15.75" customHeight="1">
      <c r="B1205" s="76"/>
      <c r="C1205" s="37"/>
      <c r="D1205" s="77"/>
      <c r="E1205" s="58"/>
    </row>
    <row r="1206" ht="15.75" customHeight="1">
      <c r="B1206" s="76"/>
      <c r="C1206" s="37"/>
      <c r="D1206" s="77"/>
      <c r="E1206" s="58"/>
    </row>
    <row r="1207" ht="15.75" customHeight="1">
      <c r="B1207" s="76"/>
      <c r="C1207" s="37"/>
      <c r="D1207" s="77"/>
      <c r="E1207" s="58"/>
    </row>
    <row r="1208" ht="15.75" customHeight="1">
      <c r="B1208" s="76"/>
      <c r="C1208" s="37"/>
      <c r="D1208" s="77"/>
      <c r="E1208" s="58"/>
    </row>
    <row r="1209" ht="15.75" customHeight="1">
      <c r="B1209" s="76"/>
      <c r="C1209" s="37"/>
      <c r="D1209" s="77"/>
      <c r="E1209" s="58"/>
    </row>
    <row r="1210" ht="15.75" customHeight="1">
      <c r="B1210" s="76"/>
      <c r="C1210" s="37"/>
      <c r="D1210" s="77"/>
      <c r="E1210" s="58"/>
    </row>
    <row r="1211" ht="15.75" customHeight="1">
      <c r="B1211" s="76"/>
      <c r="C1211" s="37"/>
      <c r="D1211" s="77"/>
      <c r="E1211" s="58"/>
    </row>
    <row r="1212" ht="15.75" customHeight="1">
      <c r="B1212" s="76"/>
      <c r="C1212" s="37"/>
      <c r="D1212" s="77"/>
      <c r="E1212" s="58"/>
    </row>
    <row r="1213" ht="15.75" customHeight="1">
      <c r="B1213" s="76"/>
      <c r="C1213" s="37"/>
      <c r="D1213" s="77"/>
      <c r="E1213" s="58"/>
    </row>
    <row r="1214" ht="15.75" customHeight="1">
      <c r="B1214" s="76"/>
      <c r="C1214" s="37"/>
      <c r="D1214" s="77"/>
      <c r="E1214" s="58"/>
    </row>
    <row r="1215" ht="15.75" customHeight="1">
      <c r="B1215" s="76"/>
      <c r="C1215" s="37"/>
      <c r="D1215" s="77"/>
      <c r="E1215" s="58"/>
    </row>
    <row r="1216" ht="15.75" customHeight="1">
      <c r="B1216" s="76"/>
      <c r="C1216" s="37"/>
      <c r="D1216" s="77"/>
      <c r="E1216" s="58"/>
    </row>
    <row r="1217" ht="15.75" customHeight="1">
      <c r="B1217" s="76"/>
      <c r="C1217" s="37"/>
      <c r="D1217" s="77"/>
      <c r="E1217" s="58"/>
    </row>
    <row r="1218" ht="15.75" customHeight="1">
      <c r="B1218" s="76"/>
      <c r="C1218" s="37"/>
      <c r="D1218" s="77"/>
      <c r="E1218" s="58"/>
    </row>
    <row r="1219" ht="15.75" customHeight="1">
      <c r="B1219" s="76"/>
      <c r="C1219" s="37"/>
      <c r="D1219" s="77"/>
      <c r="E1219" s="58"/>
    </row>
    <row r="1220" ht="15.75" customHeight="1">
      <c r="B1220" s="76"/>
      <c r="C1220" s="37"/>
      <c r="D1220" s="77"/>
      <c r="E1220" s="58"/>
    </row>
    <row r="1221" ht="15.75" customHeight="1">
      <c r="B1221" s="76"/>
      <c r="C1221" s="37"/>
      <c r="D1221" s="77"/>
      <c r="E1221" s="58"/>
    </row>
    <row r="1222" ht="15.75" customHeight="1">
      <c r="B1222" s="76"/>
      <c r="C1222" s="37"/>
      <c r="D1222" s="77"/>
      <c r="E1222" s="58"/>
    </row>
    <row r="1223" ht="15.75" customHeight="1">
      <c r="B1223" s="76"/>
      <c r="C1223" s="37"/>
      <c r="D1223" s="77"/>
      <c r="E1223" s="58"/>
    </row>
    <row r="1224" ht="15.75" customHeight="1">
      <c r="B1224" s="76"/>
      <c r="C1224" s="37"/>
      <c r="D1224" s="77"/>
      <c r="E1224" s="58"/>
    </row>
    <row r="1225" ht="15.75" customHeight="1">
      <c r="B1225" s="76"/>
      <c r="C1225" s="37"/>
      <c r="D1225" s="77"/>
      <c r="E1225" s="58"/>
    </row>
    <row r="1226" ht="15.75" customHeight="1">
      <c r="B1226" s="76"/>
      <c r="C1226" s="37"/>
      <c r="D1226" s="77"/>
      <c r="E1226" s="58"/>
    </row>
    <row r="1227" ht="15.75" customHeight="1">
      <c r="B1227" s="76"/>
      <c r="C1227" s="37"/>
      <c r="D1227" s="77"/>
      <c r="E1227" s="58"/>
    </row>
    <row r="1228" ht="15.75" customHeight="1">
      <c r="B1228" s="76"/>
      <c r="C1228" s="37"/>
      <c r="D1228" s="77"/>
      <c r="E1228" s="58"/>
    </row>
    <row r="1229" ht="15.75" customHeight="1">
      <c r="B1229" s="76"/>
      <c r="C1229" s="37"/>
      <c r="D1229" s="77"/>
      <c r="E1229" s="58"/>
    </row>
    <row r="1230" ht="15.75" customHeight="1">
      <c r="B1230" s="76"/>
      <c r="C1230" s="37"/>
      <c r="D1230" s="77"/>
      <c r="E1230" s="58"/>
    </row>
    <row r="1231" ht="15.75" customHeight="1">
      <c r="B1231" s="76"/>
      <c r="C1231" s="37"/>
      <c r="D1231" s="77"/>
      <c r="E1231" s="58"/>
    </row>
    <row r="1232" ht="15.75" customHeight="1">
      <c r="B1232" s="76"/>
      <c r="C1232" s="37"/>
      <c r="D1232" s="77"/>
      <c r="E1232" s="58"/>
    </row>
    <row r="1233" ht="15.75" customHeight="1">
      <c r="B1233" s="76"/>
      <c r="C1233" s="37"/>
      <c r="D1233" s="77"/>
      <c r="E1233" s="58"/>
    </row>
    <row r="1234" ht="15.75" customHeight="1">
      <c r="B1234" s="76"/>
      <c r="C1234" s="37"/>
      <c r="D1234" s="77"/>
      <c r="E1234" s="58"/>
    </row>
    <row r="1235" ht="15.75" customHeight="1">
      <c r="B1235" s="76"/>
      <c r="C1235" s="37"/>
      <c r="D1235" s="77"/>
      <c r="E1235" s="58"/>
    </row>
    <row r="1236" ht="15.75" customHeight="1">
      <c r="B1236" s="76"/>
      <c r="C1236" s="37"/>
      <c r="D1236" s="77"/>
      <c r="E1236" s="58"/>
    </row>
    <row r="1237" ht="15.75" customHeight="1">
      <c r="B1237" s="76"/>
      <c r="C1237" s="37"/>
      <c r="D1237" s="77"/>
      <c r="E1237" s="58"/>
    </row>
    <row r="1238" ht="15.75" customHeight="1">
      <c r="B1238" s="76"/>
      <c r="C1238" s="37"/>
      <c r="D1238" s="77"/>
      <c r="E1238" s="58"/>
    </row>
    <row r="1239" ht="15.75" customHeight="1">
      <c r="B1239" s="76"/>
      <c r="C1239" s="37"/>
      <c r="D1239" s="77"/>
      <c r="E1239" s="58"/>
    </row>
    <row r="1240" ht="15.75" customHeight="1">
      <c r="B1240" s="76"/>
      <c r="C1240" s="37"/>
      <c r="D1240" s="77"/>
      <c r="E1240" s="58"/>
    </row>
    <row r="1241" ht="15.75" customHeight="1">
      <c r="B1241" s="76"/>
      <c r="C1241" s="37"/>
      <c r="D1241" s="77"/>
      <c r="E1241" s="58"/>
    </row>
    <row r="1242" ht="15.75" customHeight="1">
      <c r="B1242" s="76"/>
      <c r="C1242" s="37"/>
      <c r="D1242" s="77"/>
      <c r="E1242" s="58"/>
    </row>
    <row r="1243" ht="15.75" customHeight="1">
      <c r="B1243" s="76"/>
      <c r="C1243" s="37"/>
      <c r="D1243" s="77"/>
      <c r="E1243" s="58"/>
    </row>
    <row r="1244" ht="15.75" customHeight="1">
      <c r="B1244" s="76"/>
      <c r="C1244" s="37"/>
      <c r="D1244" s="77"/>
      <c r="E1244" s="58"/>
    </row>
    <row r="1245" ht="15.75" customHeight="1">
      <c r="B1245" s="76"/>
      <c r="C1245" s="37"/>
      <c r="D1245" s="77"/>
      <c r="E1245" s="58"/>
    </row>
    <row r="1246" ht="15.75" customHeight="1">
      <c r="B1246" s="76"/>
      <c r="C1246" s="37"/>
      <c r="D1246" s="77"/>
      <c r="E1246" s="58"/>
    </row>
    <row r="1247" ht="15.75" customHeight="1">
      <c r="B1247" s="76"/>
      <c r="C1247" s="37"/>
      <c r="D1247" s="77"/>
      <c r="E1247" s="58"/>
    </row>
    <row r="1248" ht="15.75" customHeight="1">
      <c r="B1248" s="76"/>
      <c r="C1248" s="37"/>
      <c r="D1248" s="77"/>
      <c r="E1248" s="58"/>
    </row>
    <row r="1249" ht="15.75" customHeight="1">
      <c r="B1249" s="76"/>
      <c r="C1249" s="37"/>
      <c r="D1249" s="77"/>
      <c r="E1249" s="58"/>
    </row>
    <row r="1250" ht="15.75" customHeight="1">
      <c r="B1250" s="76"/>
      <c r="C1250" s="37"/>
      <c r="D1250" s="77"/>
      <c r="E1250" s="58"/>
    </row>
    <row r="1251" ht="15.75" customHeight="1">
      <c r="B1251" s="76"/>
      <c r="C1251" s="37"/>
      <c r="D1251" s="77"/>
      <c r="E1251" s="58"/>
    </row>
    <row r="1252" ht="15.75" customHeight="1">
      <c r="B1252" s="76"/>
      <c r="C1252" s="37"/>
      <c r="D1252" s="77"/>
      <c r="E1252" s="58"/>
    </row>
    <row r="1253" ht="15.75" customHeight="1">
      <c r="B1253" s="76"/>
      <c r="C1253" s="37"/>
      <c r="D1253" s="77"/>
      <c r="E1253" s="58"/>
    </row>
    <row r="1254" ht="15.75" customHeight="1">
      <c r="B1254" s="76"/>
      <c r="C1254" s="37"/>
      <c r="D1254" s="77"/>
      <c r="E1254" s="58"/>
    </row>
    <row r="1255" ht="15.75" customHeight="1">
      <c r="B1255" s="76"/>
      <c r="C1255" s="37"/>
      <c r="D1255" s="77"/>
      <c r="E1255" s="58"/>
    </row>
    <row r="1256" ht="15.75" customHeight="1">
      <c r="B1256" s="76"/>
      <c r="C1256" s="37"/>
      <c r="D1256" s="77"/>
      <c r="E1256" s="58"/>
    </row>
    <row r="1257" ht="15.75" customHeight="1">
      <c r="B1257" s="76"/>
      <c r="C1257" s="37"/>
      <c r="D1257" s="77"/>
      <c r="E1257" s="58"/>
    </row>
    <row r="1258" ht="15.75" customHeight="1">
      <c r="B1258" s="76"/>
      <c r="C1258" s="37"/>
      <c r="D1258" s="77"/>
      <c r="E1258" s="58"/>
    </row>
    <row r="1259" ht="15.75" customHeight="1">
      <c r="B1259" s="76"/>
      <c r="C1259" s="37"/>
      <c r="D1259" s="77"/>
      <c r="E1259" s="58"/>
    </row>
    <row r="1260" ht="15.75" customHeight="1">
      <c r="B1260" s="76"/>
      <c r="C1260" s="37"/>
      <c r="D1260" s="77"/>
      <c r="E1260" s="58"/>
    </row>
    <row r="1261" ht="15.75" customHeight="1">
      <c r="B1261" s="76"/>
      <c r="C1261" s="37"/>
      <c r="D1261" s="77"/>
      <c r="E1261" s="58"/>
    </row>
    <row r="1262" ht="15.75" customHeight="1">
      <c r="B1262" s="76"/>
      <c r="C1262" s="37"/>
      <c r="D1262" s="77"/>
      <c r="E1262" s="58"/>
    </row>
    <row r="1263" ht="15.75" customHeight="1">
      <c r="B1263" s="76"/>
      <c r="C1263" s="37"/>
      <c r="D1263" s="77"/>
      <c r="E1263" s="58"/>
    </row>
    <row r="1264" ht="15.75" customHeight="1">
      <c r="B1264" s="76"/>
      <c r="C1264" s="37"/>
      <c r="D1264" s="77"/>
      <c r="E1264" s="58"/>
    </row>
    <row r="1265" ht="15.75" customHeight="1">
      <c r="B1265" s="76"/>
      <c r="C1265" s="37"/>
      <c r="D1265" s="77"/>
      <c r="E1265" s="58"/>
    </row>
    <row r="1266" ht="15.75" customHeight="1">
      <c r="B1266" s="76"/>
      <c r="C1266" s="37"/>
      <c r="D1266" s="77"/>
      <c r="E1266" s="58"/>
    </row>
    <row r="1267" ht="15.75" customHeight="1">
      <c r="B1267" s="76"/>
      <c r="C1267" s="37"/>
      <c r="D1267" s="77"/>
      <c r="E1267" s="58"/>
    </row>
    <row r="1268" ht="15.75" customHeight="1">
      <c r="B1268" s="76"/>
      <c r="C1268" s="37"/>
      <c r="D1268" s="77"/>
      <c r="E1268" s="58"/>
    </row>
    <row r="1269" ht="15.75" customHeight="1">
      <c r="B1269" s="76"/>
      <c r="C1269" s="37"/>
      <c r="D1269" s="77"/>
      <c r="E1269" s="58"/>
    </row>
    <row r="1270" ht="15.75" customHeight="1">
      <c r="B1270" s="76"/>
      <c r="C1270" s="37"/>
      <c r="D1270" s="77"/>
      <c r="E1270" s="58"/>
    </row>
    <row r="1271" ht="15.75" customHeight="1">
      <c r="B1271" s="76"/>
      <c r="C1271" s="37"/>
      <c r="D1271" s="77"/>
      <c r="E1271" s="58"/>
    </row>
    <row r="1272" ht="15.75" customHeight="1">
      <c r="B1272" s="76"/>
      <c r="C1272" s="37"/>
      <c r="D1272" s="77"/>
      <c r="E1272" s="58"/>
    </row>
    <row r="1273" ht="15.75" customHeight="1">
      <c r="B1273" s="76"/>
      <c r="C1273" s="37"/>
      <c r="D1273" s="77"/>
      <c r="E1273" s="58"/>
    </row>
    <row r="1274" ht="15.75" customHeight="1">
      <c r="B1274" s="76"/>
      <c r="C1274" s="37"/>
      <c r="D1274" s="77"/>
      <c r="E1274" s="58"/>
    </row>
    <row r="1275" ht="15.75" customHeight="1">
      <c r="B1275" s="76"/>
      <c r="C1275" s="37"/>
      <c r="D1275" s="77"/>
      <c r="E1275" s="58"/>
    </row>
    <row r="1276" ht="15.75" customHeight="1">
      <c r="B1276" s="76"/>
      <c r="C1276" s="37"/>
      <c r="D1276" s="77"/>
      <c r="E1276" s="58"/>
    </row>
    <row r="1277" ht="15.75" customHeight="1">
      <c r="B1277" s="76"/>
      <c r="C1277" s="37"/>
      <c r="D1277" s="77"/>
      <c r="E1277" s="58"/>
    </row>
    <row r="1278" ht="15.75" customHeight="1">
      <c r="B1278" s="76"/>
      <c r="C1278" s="37"/>
      <c r="D1278" s="77"/>
      <c r="E1278" s="58"/>
    </row>
    <row r="1279" ht="15.75" customHeight="1">
      <c r="B1279" s="76"/>
      <c r="C1279" s="37"/>
      <c r="D1279" s="77"/>
      <c r="E1279" s="58"/>
    </row>
    <row r="1280" ht="15.75" customHeight="1">
      <c r="B1280" s="76"/>
      <c r="C1280" s="37"/>
      <c r="D1280" s="77"/>
      <c r="E1280" s="58"/>
    </row>
    <row r="1281" ht="15.75" customHeight="1">
      <c r="B1281" s="76"/>
      <c r="C1281" s="37"/>
      <c r="D1281" s="77"/>
      <c r="E1281" s="58"/>
    </row>
    <row r="1282" ht="15.75" customHeight="1">
      <c r="B1282" s="76"/>
      <c r="C1282" s="37"/>
      <c r="D1282" s="77"/>
      <c r="E1282" s="58"/>
    </row>
    <row r="1283" ht="15.75" customHeight="1">
      <c r="B1283" s="76"/>
      <c r="C1283" s="37"/>
      <c r="D1283" s="77"/>
      <c r="E1283" s="58"/>
    </row>
    <row r="1284" ht="15.75" customHeight="1">
      <c r="B1284" s="76"/>
      <c r="C1284" s="37"/>
      <c r="D1284" s="77"/>
      <c r="E1284" s="58"/>
    </row>
    <row r="1285" ht="15.75" customHeight="1">
      <c r="B1285" s="76"/>
      <c r="C1285" s="37"/>
      <c r="D1285" s="77"/>
      <c r="E1285" s="58"/>
    </row>
    <row r="1286" ht="15.75" customHeight="1">
      <c r="B1286" s="76"/>
      <c r="C1286" s="37"/>
      <c r="D1286" s="77"/>
      <c r="E1286" s="58"/>
    </row>
    <row r="1287" ht="15.75" customHeight="1">
      <c r="B1287" s="76"/>
      <c r="C1287" s="37"/>
      <c r="D1287" s="77"/>
      <c r="E1287" s="58"/>
    </row>
    <row r="1288" ht="15.75" customHeight="1">
      <c r="B1288" s="76"/>
      <c r="C1288" s="37"/>
      <c r="D1288" s="77"/>
      <c r="E1288" s="58"/>
    </row>
    <row r="1289" ht="15.75" customHeight="1">
      <c r="B1289" s="76"/>
      <c r="C1289" s="37"/>
      <c r="D1289" s="77"/>
      <c r="E1289" s="58"/>
    </row>
    <row r="1290" ht="15.75" customHeight="1">
      <c r="B1290" s="76"/>
      <c r="C1290" s="37"/>
      <c r="D1290" s="77"/>
      <c r="E1290" s="58"/>
    </row>
    <row r="1291" ht="15.75" customHeight="1">
      <c r="B1291" s="76"/>
      <c r="C1291" s="37"/>
      <c r="D1291" s="77"/>
      <c r="E1291" s="58"/>
    </row>
    <row r="1292" ht="15.75" customHeight="1">
      <c r="B1292" s="76"/>
      <c r="C1292" s="37"/>
      <c r="D1292" s="77"/>
      <c r="E1292" s="58"/>
    </row>
    <row r="1293" ht="15.75" customHeight="1">
      <c r="B1293" s="76"/>
      <c r="C1293" s="37"/>
      <c r="D1293" s="77"/>
      <c r="E1293" s="58"/>
    </row>
    <row r="1294" ht="15.75" customHeight="1">
      <c r="B1294" s="76"/>
      <c r="C1294" s="37"/>
      <c r="D1294" s="77"/>
      <c r="E1294" s="58"/>
    </row>
    <row r="1295" ht="15.75" customHeight="1">
      <c r="B1295" s="76"/>
      <c r="C1295" s="37"/>
      <c r="D1295" s="77"/>
      <c r="E1295" s="58"/>
    </row>
    <row r="1296" ht="15.75" customHeight="1">
      <c r="B1296" s="76"/>
      <c r="C1296" s="37"/>
      <c r="D1296" s="77"/>
      <c r="E1296" s="58"/>
    </row>
    <row r="1297" ht="15.75" customHeight="1">
      <c r="B1297" s="76"/>
      <c r="C1297" s="37"/>
      <c r="D1297" s="77"/>
      <c r="E1297" s="58"/>
    </row>
    <row r="1298" ht="15.75" customHeight="1">
      <c r="B1298" s="76"/>
      <c r="C1298" s="37"/>
      <c r="D1298" s="77"/>
      <c r="E1298" s="58"/>
    </row>
    <row r="1299" ht="15.75" customHeight="1">
      <c r="B1299" s="76"/>
      <c r="C1299" s="37"/>
      <c r="D1299" s="77"/>
      <c r="E1299" s="58"/>
    </row>
    <row r="1300" ht="15.75" customHeight="1">
      <c r="B1300" s="76"/>
      <c r="C1300" s="37"/>
      <c r="D1300" s="77"/>
      <c r="E1300" s="58"/>
    </row>
    <row r="1301" ht="15.75" customHeight="1">
      <c r="B1301" s="76"/>
      <c r="C1301" s="37"/>
      <c r="D1301" s="77"/>
      <c r="E1301" s="58"/>
    </row>
    <row r="1302" ht="15.75" customHeight="1">
      <c r="B1302" s="76"/>
      <c r="C1302" s="37"/>
      <c r="D1302" s="77"/>
      <c r="E1302" s="58"/>
    </row>
    <row r="1303" ht="15.75" customHeight="1">
      <c r="B1303" s="76"/>
      <c r="C1303" s="37"/>
      <c r="D1303" s="77"/>
      <c r="E1303" s="58"/>
    </row>
    <row r="1304" ht="15.75" customHeight="1">
      <c r="B1304" s="76"/>
      <c r="C1304" s="37"/>
      <c r="D1304" s="77"/>
      <c r="E1304" s="58"/>
    </row>
    <row r="1305" ht="15.75" customHeight="1">
      <c r="B1305" s="76"/>
      <c r="C1305" s="37"/>
      <c r="D1305" s="77"/>
      <c r="E1305" s="58"/>
    </row>
    <row r="1306" ht="15.75" customHeight="1">
      <c r="B1306" s="76"/>
      <c r="C1306" s="37"/>
      <c r="D1306" s="77"/>
      <c r="E1306" s="58"/>
    </row>
    <row r="1307" ht="15.75" customHeight="1">
      <c r="B1307" s="76"/>
      <c r="C1307" s="37"/>
      <c r="D1307" s="77"/>
      <c r="E1307" s="58"/>
    </row>
    <row r="1308" ht="15.75" customHeight="1">
      <c r="B1308" s="76"/>
      <c r="C1308" s="37"/>
      <c r="D1308" s="77"/>
      <c r="E1308" s="58"/>
    </row>
    <row r="1309" ht="15.75" customHeight="1">
      <c r="B1309" s="76"/>
      <c r="C1309" s="37"/>
      <c r="D1309" s="77"/>
      <c r="E1309" s="58"/>
    </row>
    <row r="1310" ht="15.75" customHeight="1">
      <c r="B1310" s="76"/>
      <c r="C1310" s="37"/>
      <c r="D1310" s="77"/>
      <c r="E1310" s="58"/>
    </row>
    <row r="1311" ht="15.75" customHeight="1">
      <c r="B1311" s="76"/>
      <c r="C1311" s="37"/>
      <c r="D1311" s="77"/>
      <c r="E1311" s="58"/>
    </row>
    <row r="1312" ht="15.75" customHeight="1">
      <c r="B1312" s="76"/>
      <c r="C1312" s="37"/>
      <c r="D1312" s="77"/>
      <c r="E1312" s="58"/>
    </row>
    <row r="1313" ht="15.75" customHeight="1">
      <c r="B1313" s="76"/>
      <c r="C1313" s="37"/>
      <c r="D1313" s="77"/>
      <c r="E1313" s="58"/>
    </row>
    <row r="1314" ht="15.75" customHeight="1">
      <c r="B1314" s="76"/>
      <c r="C1314" s="37"/>
      <c r="D1314" s="77"/>
      <c r="E1314" s="58"/>
    </row>
    <row r="1315" ht="15.75" customHeight="1">
      <c r="B1315" s="76"/>
      <c r="C1315" s="37"/>
      <c r="D1315" s="77"/>
      <c r="E1315" s="58"/>
    </row>
    <row r="1316" ht="15.75" customHeight="1">
      <c r="B1316" s="76"/>
      <c r="C1316" s="37"/>
      <c r="D1316" s="77"/>
      <c r="E1316" s="58"/>
    </row>
    <row r="1317" ht="15.75" customHeight="1">
      <c r="B1317" s="76"/>
      <c r="C1317" s="37"/>
      <c r="D1317" s="77"/>
      <c r="E1317" s="58"/>
    </row>
    <row r="1318" ht="15.75" customHeight="1">
      <c r="B1318" s="76"/>
      <c r="C1318" s="37"/>
      <c r="D1318" s="77"/>
      <c r="E1318" s="58"/>
    </row>
    <row r="1319" ht="15.75" customHeight="1">
      <c r="B1319" s="76"/>
      <c r="C1319" s="37"/>
      <c r="D1319" s="77"/>
      <c r="E1319" s="58"/>
    </row>
    <row r="1320" ht="15.75" customHeight="1">
      <c r="B1320" s="76"/>
      <c r="C1320" s="37"/>
      <c r="D1320" s="77"/>
      <c r="E1320" s="58"/>
    </row>
    <row r="1321" ht="15.75" customHeight="1">
      <c r="B1321" s="76"/>
      <c r="C1321" s="37"/>
      <c r="D1321" s="77"/>
      <c r="E1321" s="58"/>
    </row>
    <row r="1322" ht="15.75" customHeight="1">
      <c r="B1322" s="76"/>
      <c r="C1322" s="37"/>
      <c r="D1322" s="77"/>
      <c r="E1322" s="58"/>
    </row>
    <row r="1323" ht="15.75" customHeight="1">
      <c r="B1323" s="76"/>
      <c r="C1323" s="37"/>
      <c r="D1323" s="77"/>
      <c r="E1323" s="58"/>
    </row>
    <row r="1324" ht="15.75" customHeight="1">
      <c r="B1324" s="76"/>
      <c r="C1324" s="37"/>
      <c r="D1324" s="77"/>
      <c r="E1324" s="58"/>
    </row>
    <row r="1325" ht="15.75" customHeight="1">
      <c r="B1325" s="76"/>
      <c r="C1325" s="37"/>
      <c r="D1325" s="77"/>
      <c r="E1325" s="58"/>
    </row>
    <row r="1326" ht="15.75" customHeight="1">
      <c r="B1326" s="76"/>
      <c r="C1326" s="37"/>
      <c r="D1326" s="77"/>
      <c r="E1326" s="58"/>
    </row>
    <row r="1327" ht="15.75" customHeight="1">
      <c r="B1327" s="76"/>
      <c r="C1327" s="37"/>
      <c r="D1327" s="77"/>
      <c r="E1327" s="58"/>
    </row>
    <row r="1328" ht="15.75" customHeight="1">
      <c r="B1328" s="76"/>
      <c r="C1328" s="37"/>
      <c r="D1328" s="77"/>
      <c r="E1328" s="58"/>
    </row>
    <row r="1329" ht="15.75" customHeight="1">
      <c r="B1329" s="76"/>
      <c r="C1329" s="37"/>
      <c r="D1329" s="77"/>
      <c r="E1329" s="58"/>
    </row>
    <row r="1330" ht="15.75" customHeight="1">
      <c r="B1330" s="76"/>
      <c r="C1330" s="37"/>
      <c r="D1330" s="77"/>
      <c r="E1330" s="58"/>
    </row>
    <row r="1331" ht="15.75" customHeight="1">
      <c r="B1331" s="76"/>
      <c r="C1331" s="37"/>
      <c r="D1331" s="77"/>
      <c r="E1331" s="58"/>
    </row>
    <row r="1332" ht="15.75" customHeight="1">
      <c r="B1332" s="76"/>
      <c r="C1332" s="37"/>
      <c r="D1332" s="77"/>
      <c r="E1332" s="58"/>
    </row>
    <row r="1333" ht="15.75" customHeight="1">
      <c r="B1333" s="76"/>
      <c r="C1333" s="37"/>
      <c r="D1333" s="77"/>
      <c r="E1333" s="58"/>
    </row>
    <row r="1334" ht="15.75" customHeight="1">
      <c r="B1334" s="76"/>
      <c r="C1334" s="37"/>
      <c r="D1334" s="77"/>
      <c r="E1334" s="58"/>
    </row>
    <row r="1335" ht="15.75" customHeight="1">
      <c r="B1335" s="76"/>
      <c r="C1335" s="37"/>
      <c r="D1335" s="77"/>
      <c r="E1335" s="58"/>
    </row>
    <row r="1336" ht="15.75" customHeight="1">
      <c r="B1336" s="76"/>
      <c r="C1336" s="37"/>
      <c r="D1336" s="77"/>
      <c r="E1336" s="58"/>
    </row>
    <row r="1337" ht="15.75" customHeight="1">
      <c r="B1337" s="76"/>
      <c r="C1337" s="37"/>
      <c r="D1337" s="77"/>
      <c r="E1337" s="58"/>
    </row>
    <row r="1338" ht="15.75" customHeight="1">
      <c r="B1338" s="76"/>
      <c r="C1338" s="37"/>
      <c r="D1338" s="77"/>
      <c r="E1338" s="58"/>
    </row>
    <row r="1339" ht="15.75" customHeight="1">
      <c r="B1339" s="76"/>
      <c r="C1339" s="37"/>
      <c r="D1339" s="77"/>
      <c r="E1339" s="58"/>
    </row>
    <row r="1340" ht="15.75" customHeight="1">
      <c r="B1340" s="76"/>
      <c r="C1340" s="37"/>
      <c r="D1340" s="77"/>
      <c r="E1340" s="58"/>
    </row>
    <row r="1341" ht="15.75" customHeight="1">
      <c r="B1341" s="76"/>
      <c r="C1341" s="37"/>
      <c r="D1341" s="77"/>
      <c r="E1341" s="58"/>
    </row>
    <row r="1342" ht="15.75" customHeight="1">
      <c r="B1342" s="76"/>
      <c r="C1342" s="37"/>
      <c r="D1342" s="77"/>
      <c r="E1342" s="58"/>
    </row>
    <row r="1343" ht="15.75" customHeight="1">
      <c r="B1343" s="76"/>
      <c r="C1343" s="37"/>
      <c r="D1343" s="77"/>
      <c r="E1343" s="58"/>
    </row>
    <row r="1344" ht="15.75" customHeight="1">
      <c r="B1344" s="76"/>
      <c r="C1344" s="37"/>
      <c r="D1344" s="77"/>
      <c r="E1344" s="58"/>
    </row>
    <row r="1345" ht="15.75" customHeight="1">
      <c r="B1345" s="76"/>
      <c r="C1345" s="37"/>
      <c r="D1345" s="77"/>
      <c r="E1345" s="58"/>
    </row>
    <row r="1346" ht="15.75" customHeight="1">
      <c r="B1346" s="76"/>
      <c r="C1346" s="37"/>
      <c r="D1346" s="77"/>
      <c r="E1346" s="58"/>
    </row>
    <row r="1347" ht="15.75" customHeight="1">
      <c r="B1347" s="76"/>
      <c r="C1347" s="37"/>
      <c r="D1347" s="77"/>
      <c r="E1347" s="58"/>
    </row>
    <row r="1348" ht="15.75" customHeight="1">
      <c r="B1348" s="76"/>
      <c r="C1348" s="37"/>
      <c r="D1348" s="77"/>
      <c r="E1348" s="58"/>
    </row>
    <row r="1349" ht="15.75" customHeight="1">
      <c r="B1349" s="76"/>
      <c r="C1349" s="37"/>
      <c r="D1349" s="77"/>
      <c r="E1349" s="58"/>
    </row>
    <row r="1350" ht="15.75" customHeight="1">
      <c r="B1350" s="76"/>
      <c r="C1350" s="37"/>
      <c r="D1350" s="77"/>
      <c r="E1350" s="58"/>
    </row>
    <row r="1351" ht="15.75" customHeight="1">
      <c r="B1351" s="76"/>
      <c r="C1351" s="37"/>
      <c r="D1351" s="77"/>
      <c r="E1351" s="58"/>
    </row>
    <row r="1352" ht="15.75" customHeight="1">
      <c r="B1352" s="76"/>
      <c r="C1352" s="37"/>
      <c r="D1352" s="77"/>
      <c r="E1352" s="58"/>
    </row>
    <row r="1353" ht="15.75" customHeight="1">
      <c r="B1353" s="76"/>
      <c r="C1353" s="37"/>
      <c r="D1353" s="77"/>
      <c r="E1353" s="58"/>
    </row>
    <row r="1354" ht="15.75" customHeight="1">
      <c r="B1354" s="76"/>
      <c r="C1354" s="37"/>
      <c r="D1354" s="77"/>
      <c r="E1354" s="58"/>
    </row>
    <row r="1355" ht="15.75" customHeight="1">
      <c r="B1355" s="76"/>
      <c r="C1355" s="37"/>
      <c r="D1355" s="77"/>
      <c r="E1355" s="58"/>
    </row>
    <row r="1356" ht="15.75" customHeight="1">
      <c r="B1356" s="76"/>
      <c r="C1356" s="37"/>
      <c r="D1356" s="77"/>
      <c r="E1356" s="58"/>
    </row>
    <row r="1357" ht="15.75" customHeight="1">
      <c r="B1357" s="76"/>
      <c r="C1357" s="37"/>
      <c r="D1357" s="77"/>
      <c r="E1357" s="58"/>
    </row>
    <row r="1358" ht="15.75" customHeight="1">
      <c r="B1358" s="76"/>
      <c r="C1358" s="37"/>
      <c r="D1358" s="77"/>
      <c r="E1358" s="58"/>
    </row>
    <row r="1359" ht="15.75" customHeight="1">
      <c r="B1359" s="76"/>
      <c r="C1359" s="37"/>
      <c r="D1359" s="77"/>
      <c r="E1359" s="58"/>
    </row>
    <row r="1360" ht="15.75" customHeight="1">
      <c r="B1360" s="76"/>
      <c r="C1360" s="37"/>
      <c r="D1360" s="77"/>
      <c r="E1360" s="58"/>
    </row>
    <row r="1361" ht="15.75" customHeight="1">
      <c r="B1361" s="76"/>
      <c r="C1361" s="37"/>
      <c r="D1361" s="77"/>
      <c r="E1361" s="58"/>
    </row>
    <row r="1362" ht="15.75" customHeight="1">
      <c r="B1362" s="76"/>
      <c r="C1362" s="37"/>
      <c r="D1362" s="77"/>
      <c r="E1362" s="58"/>
    </row>
    <row r="1363" ht="15.75" customHeight="1">
      <c r="B1363" s="76"/>
      <c r="C1363" s="37"/>
      <c r="D1363" s="77"/>
      <c r="E1363" s="58"/>
    </row>
    <row r="1364" ht="15.75" customHeight="1">
      <c r="B1364" s="76"/>
      <c r="C1364" s="37"/>
      <c r="D1364" s="77"/>
      <c r="E1364" s="58"/>
    </row>
    <row r="1365" ht="15.75" customHeight="1">
      <c r="B1365" s="76"/>
      <c r="C1365" s="37"/>
      <c r="D1365" s="77"/>
      <c r="E1365" s="58"/>
    </row>
    <row r="1366" ht="15.75" customHeight="1">
      <c r="B1366" s="76"/>
      <c r="C1366" s="37"/>
      <c r="D1366" s="77"/>
      <c r="E1366" s="58"/>
    </row>
    <row r="1367" ht="15.75" customHeight="1">
      <c r="B1367" s="76"/>
      <c r="C1367" s="37"/>
      <c r="D1367" s="77"/>
      <c r="E1367" s="58"/>
    </row>
    <row r="1368" ht="15.75" customHeight="1">
      <c r="B1368" s="76"/>
      <c r="C1368" s="37"/>
      <c r="D1368" s="77"/>
      <c r="E1368" s="58"/>
    </row>
    <row r="1369" ht="15.75" customHeight="1">
      <c r="B1369" s="76"/>
      <c r="C1369" s="37"/>
      <c r="D1369" s="77"/>
      <c r="E1369" s="58"/>
    </row>
    <row r="1370" ht="15.75" customHeight="1">
      <c r="B1370" s="76"/>
      <c r="C1370" s="37"/>
      <c r="D1370" s="77"/>
      <c r="E1370" s="58"/>
    </row>
    <row r="1371" ht="15.75" customHeight="1">
      <c r="B1371" s="76"/>
      <c r="C1371" s="37"/>
      <c r="D1371" s="77"/>
      <c r="E1371" s="58"/>
    </row>
    <row r="1372" ht="15.75" customHeight="1">
      <c r="B1372" s="76"/>
      <c r="C1372" s="37"/>
      <c r="D1372" s="77"/>
      <c r="E1372" s="58"/>
    </row>
    <row r="1373" ht="15.75" customHeight="1">
      <c r="B1373" s="76"/>
      <c r="C1373" s="37"/>
      <c r="D1373" s="77"/>
      <c r="E1373" s="58"/>
    </row>
    <row r="1374" ht="15.75" customHeight="1">
      <c r="B1374" s="76"/>
      <c r="C1374" s="37"/>
      <c r="D1374" s="77"/>
      <c r="E1374" s="58"/>
    </row>
    <row r="1375" ht="15.75" customHeight="1">
      <c r="B1375" s="76"/>
      <c r="C1375" s="37"/>
      <c r="D1375" s="77"/>
      <c r="E1375" s="58"/>
    </row>
    <row r="1376" ht="15.75" customHeight="1">
      <c r="B1376" s="76"/>
      <c r="C1376" s="37"/>
      <c r="D1376" s="77"/>
      <c r="E1376" s="58"/>
    </row>
    <row r="1377" ht="15.75" customHeight="1">
      <c r="B1377" s="76"/>
      <c r="C1377" s="37"/>
      <c r="D1377" s="77"/>
      <c r="E1377" s="58"/>
    </row>
    <row r="1378" ht="15.75" customHeight="1">
      <c r="B1378" s="76"/>
      <c r="C1378" s="37"/>
      <c r="D1378" s="77"/>
      <c r="E1378" s="58"/>
    </row>
    <row r="1379" ht="15.75" customHeight="1">
      <c r="B1379" s="76"/>
      <c r="C1379" s="37"/>
      <c r="D1379" s="77"/>
      <c r="E1379" s="58"/>
    </row>
    <row r="1380" ht="15.75" customHeight="1">
      <c r="B1380" s="76"/>
      <c r="C1380" s="37"/>
      <c r="D1380" s="77"/>
      <c r="E1380" s="58"/>
    </row>
    <row r="1381" ht="15.75" customHeight="1">
      <c r="B1381" s="76"/>
      <c r="C1381" s="37"/>
      <c r="D1381" s="77"/>
      <c r="E1381" s="58"/>
    </row>
    <row r="1382" ht="15.75" customHeight="1">
      <c r="B1382" s="76"/>
      <c r="C1382" s="37"/>
      <c r="D1382" s="77"/>
      <c r="E1382" s="58"/>
    </row>
    <row r="1383" ht="15.75" customHeight="1">
      <c r="B1383" s="76"/>
      <c r="C1383" s="37"/>
      <c r="D1383" s="77"/>
      <c r="E1383" s="58"/>
    </row>
    <row r="1384" ht="15.75" customHeight="1">
      <c r="B1384" s="76"/>
      <c r="C1384" s="37"/>
      <c r="D1384" s="77"/>
      <c r="E1384" s="58"/>
    </row>
    <row r="1385" ht="15.75" customHeight="1">
      <c r="B1385" s="76"/>
      <c r="C1385" s="37"/>
      <c r="D1385" s="77"/>
      <c r="E1385" s="58"/>
    </row>
    <row r="1386" ht="15.75" customHeight="1">
      <c r="B1386" s="76"/>
      <c r="C1386" s="37"/>
      <c r="D1386" s="77"/>
      <c r="E1386" s="58"/>
    </row>
    <row r="1387" ht="15.75" customHeight="1">
      <c r="B1387" s="76"/>
      <c r="C1387" s="37"/>
      <c r="D1387" s="77"/>
      <c r="E1387" s="58"/>
    </row>
    <row r="1388" ht="15.75" customHeight="1">
      <c r="B1388" s="76"/>
      <c r="C1388" s="37"/>
      <c r="D1388" s="77"/>
      <c r="E1388" s="58"/>
    </row>
    <row r="1389" ht="15.75" customHeight="1">
      <c r="B1389" s="76"/>
      <c r="C1389" s="37"/>
      <c r="D1389" s="77"/>
      <c r="E1389" s="58"/>
    </row>
    <row r="1390" ht="15.75" customHeight="1">
      <c r="B1390" s="76"/>
      <c r="C1390" s="37"/>
      <c r="D1390" s="77"/>
      <c r="E1390" s="58"/>
    </row>
    <row r="1391" ht="15.75" customHeight="1">
      <c r="B1391" s="76"/>
      <c r="C1391" s="37"/>
      <c r="D1391" s="77"/>
      <c r="E1391" s="58"/>
    </row>
    <row r="1392" ht="15.75" customHeight="1">
      <c r="B1392" s="76"/>
      <c r="C1392" s="37"/>
      <c r="D1392" s="77"/>
      <c r="E1392" s="58"/>
    </row>
    <row r="1393" ht="15.75" customHeight="1">
      <c r="B1393" s="76"/>
      <c r="C1393" s="37"/>
      <c r="D1393" s="77"/>
      <c r="E1393" s="58"/>
    </row>
    <row r="1394" ht="15.75" customHeight="1">
      <c r="B1394" s="76"/>
      <c r="C1394" s="37"/>
      <c r="D1394" s="77"/>
      <c r="E1394" s="58"/>
    </row>
    <row r="1395" ht="15.75" customHeight="1">
      <c r="B1395" s="76"/>
      <c r="C1395" s="37"/>
      <c r="D1395" s="77"/>
      <c r="E1395" s="58"/>
    </row>
    <row r="1396" ht="15.75" customHeight="1">
      <c r="B1396" s="76"/>
      <c r="C1396" s="37"/>
      <c r="D1396" s="77"/>
      <c r="E1396" s="58"/>
    </row>
    <row r="1397" ht="15.75" customHeight="1">
      <c r="B1397" s="76"/>
      <c r="C1397" s="37"/>
      <c r="D1397" s="77"/>
      <c r="E1397" s="58"/>
    </row>
    <row r="1398" ht="15.75" customHeight="1">
      <c r="B1398" s="76"/>
      <c r="C1398" s="37"/>
      <c r="D1398" s="77"/>
      <c r="E1398" s="58"/>
    </row>
    <row r="1399" ht="15.75" customHeight="1">
      <c r="B1399" s="76"/>
      <c r="C1399" s="37"/>
      <c r="D1399" s="77"/>
      <c r="E1399" s="58"/>
    </row>
    <row r="1400" ht="15.75" customHeight="1">
      <c r="B1400" s="76"/>
      <c r="C1400" s="37"/>
      <c r="D1400" s="77"/>
      <c r="E1400" s="58"/>
    </row>
    <row r="1401" ht="15.75" customHeight="1">
      <c r="B1401" s="76"/>
      <c r="C1401" s="37"/>
      <c r="D1401" s="77"/>
      <c r="E1401" s="58"/>
    </row>
    <row r="1402" ht="15.75" customHeight="1">
      <c r="B1402" s="76"/>
      <c r="C1402" s="37"/>
      <c r="D1402" s="77"/>
      <c r="E1402" s="58"/>
    </row>
    <row r="1403" ht="15.75" customHeight="1">
      <c r="B1403" s="76"/>
      <c r="C1403" s="37"/>
      <c r="D1403" s="77"/>
      <c r="E1403" s="58"/>
    </row>
    <row r="1404" ht="15.75" customHeight="1">
      <c r="B1404" s="76"/>
      <c r="C1404" s="37"/>
      <c r="D1404" s="77"/>
      <c r="E1404" s="58"/>
    </row>
    <row r="1405" ht="15.75" customHeight="1">
      <c r="B1405" s="76"/>
      <c r="C1405" s="37"/>
      <c r="D1405" s="77"/>
      <c r="E1405" s="58"/>
    </row>
    <row r="1406" ht="15.75" customHeight="1">
      <c r="B1406" s="76"/>
      <c r="C1406" s="37"/>
      <c r="D1406" s="77"/>
      <c r="E1406" s="58"/>
    </row>
    <row r="1407" ht="15.75" customHeight="1">
      <c r="B1407" s="76"/>
      <c r="C1407" s="37"/>
      <c r="D1407" s="77"/>
      <c r="E1407" s="58"/>
    </row>
    <row r="1408" ht="15.75" customHeight="1">
      <c r="B1408" s="76"/>
      <c r="C1408" s="37"/>
      <c r="D1408" s="77"/>
      <c r="E1408" s="58"/>
    </row>
    <row r="1409" ht="15.75" customHeight="1">
      <c r="B1409" s="76"/>
      <c r="C1409" s="37"/>
      <c r="D1409" s="77"/>
      <c r="E1409" s="58"/>
    </row>
    <row r="1410" ht="15.75" customHeight="1">
      <c r="B1410" s="76"/>
      <c r="C1410" s="37"/>
      <c r="D1410" s="77"/>
      <c r="E1410" s="58"/>
    </row>
    <row r="1411" ht="15.75" customHeight="1">
      <c r="B1411" s="76"/>
      <c r="C1411" s="37"/>
      <c r="D1411" s="77"/>
      <c r="E1411" s="58"/>
    </row>
    <row r="1412" ht="15.75" customHeight="1">
      <c r="B1412" s="76"/>
      <c r="C1412" s="37"/>
      <c r="D1412" s="77"/>
      <c r="E1412" s="58"/>
    </row>
    <row r="1413" ht="15.75" customHeight="1">
      <c r="B1413" s="76"/>
      <c r="C1413" s="37"/>
      <c r="D1413" s="77"/>
      <c r="E1413" s="58"/>
    </row>
    <row r="1414" ht="15.75" customHeight="1">
      <c r="B1414" s="76"/>
      <c r="C1414" s="37"/>
      <c r="D1414" s="77"/>
      <c r="E1414" s="58"/>
    </row>
    <row r="1415" ht="15.75" customHeight="1">
      <c r="B1415" s="76"/>
      <c r="C1415" s="37"/>
      <c r="D1415" s="77"/>
      <c r="E1415" s="58"/>
    </row>
    <row r="1416" ht="15.75" customHeight="1">
      <c r="B1416" s="76"/>
      <c r="C1416" s="37"/>
      <c r="D1416" s="77"/>
      <c r="E1416" s="58"/>
    </row>
    <row r="1417" ht="15.75" customHeight="1">
      <c r="B1417" s="76"/>
      <c r="C1417" s="37"/>
      <c r="D1417" s="77"/>
      <c r="E1417" s="58"/>
    </row>
    <row r="1418" ht="15.75" customHeight="1">
      <c r="B1418" s="76"/>
      <c r="C1418" s="37"/>
      <c r="D1418" s="77"/>
      <c r="E1418" s="58"/>
    </row>
    <row r="1419" ht="15.75" customHeight="1">
      <c r="B1419" s="76"/>
      <c r="C1419" s="37"/>
      <c r="D1419" s="77"/>
      <c r="E1419" s="58"/>
    </row>
    <row r="1420" ht="15.75" customHeight="1">
      <c r="B1420" s="76"/>
      <c r="C1420" s="37"/>
      <c r="D1420" s="77"/>
      <c r="E1420" s="58"/>
    </row>
    <row r="1421" ht="15.75" customHeight="1">
      <c r="B1421" s="76"/>
      <c r="C1421" s="37"/>
      <c r="D1421" s="77"/>
      <c r="E1421" s="58"/>
    </row>
    <row r="1422" ht="15.75" customHeight="1">
      <c r="B1422" s="76"/>
      <c r="C1422" s="37"/>
      <c r="D1422" s="77"/>
      <c r="E1422" s="58"/>
    </row>
    <row r="1423" ht="15.75" customHeight="1">
      <c r="B1423" s="76"/>
      <c r="C1423" s="37"/>
      <c r="D1423" s="77"/>
      <c r="E1423" s="58"/>
    </row>
    <row r="1424" ht="15.75" customHeight="1">
      <c r="B1424" s="76"/>
      <c r="C1424" s="37"/>
      <c r="D1424" s="77"/>
      <c r="E1424" s="58"/>
    </row>
    <row r="1425" ht="15.75" customHeight="1">
      <c r="B1425" s="76"/>
      <c r="C1425" s="37"/>
      <c r="D1425" s="77"/>
      <c r="E1425" s="58"/>
    </row>
    <row r="1426" ht="15.75" customHeight="1">
      <c r="B1426" s="76"/>
      <c r="C1426" s="37"/>
      <c r="D1426" s="77"/>
      <c r="E1426" s="58"/>
    </row>
    <row r="1427" ht="15.75" customHeight="1">
      <c r="B1427" s="76"/>
      <c r="C1427" s="37"/>
      <c r="D1427" s="77"/>
      <c r="E1427" s="58"/>
    </row>
    <row r="1428" ht="15.75" customHeight="1">
      <c r="B1428" s="76"/>
      <c r="C1428" s="37"/>
      <c r="D1428" s="77"/>
      <c r="E1428" s="58"/>
    </row>
    <row r="1429" ht="15.75" customHeight="1">
      <c r="B1429" s="76"/>
      <c r="C1429" s="37"/>
      <c r="D1429" s="77"/>
      <c r="E1429" s="58"/>
    </row>
    <row r="1430" ht="15.75" customHeight="1">
      <c r="B1430" s="76"/>
      <c r="C1430" s="37"/>
      <c r="D1430" s="77"/>
      <c r="E1430" s="58"/>
    </row>
    <row r="1431" ht="15.75" customHeight="1">
      <c r="B1431" s="76"/>
      <c r="C1431" s="37"/>
      <c r="D1431" s="77"/>
      <c r="E1431" s="58"/>
    </row>
    <row r="1432" ht="15.75" customHeight="1">
      <c r="B1432" s="76"/>
      <c r="C1432" s="37"/>
      <c r="D1432" s="77"/>
      <c r="E1432" s="58"/>
    </row>
    <row r="1433" ht="15.75" customHeight="1">
      <c r="B1433" s="76"/>
      <c r="C1433" s="37"/>
      <c r="D1433" s="77"/>
      <c r="E1433" s="58"/>
    </row>
    <row r="1434" ht="15.75" customHeight="1">
      <c r="B1434" s="76"/>
      <c r="C1434" s="37"/>
      <c r="D1434" s="77"/>
      <c r="E1434" s="58"/>
    </row>
    <row r="1435" ht="15.75" customHeight="1">
      <c r="B1435" s="76"/>
      <c r="C1435" s="37"/>
      <c r="D1435" s="77"/>
      <c r="E1435" s="58"/>
    </row>
    <row r="1436" ht="15.75" customHeight="1">
      <c r="B1436" s="76"/>
      <c r="C1436" s="37"/>
      <c r="D1436" s="77"/>
      <c r="E1436" s="58"/>
    </row>
    <row r="1437" ht="15.75" customHeight="1">
      <c r="B1437" s="76"/>
      <c r="C1437" s="37"/>
      <c r="D1437" s="77"/>
      <c r="E1437" s="58"/>
    </row>
    <row r="1438" ht="15.75" customHeight="1">
      <c r="B1438" s="76"/>
      <c r="C1438" s="37"/>
      <c r="D1438" s="77"/>
      <c r="E1438" s="58"/>
    </row>
    <row r="1439" ht="15.75" customHeight="1">
      <c r="B1439" s="76"/>
      <c r="C1439" s="37"/>
      <c r="D1439" s="77"/>
      <c r="E1439" s="58"/>
    </row>
    <row r="1440" ht="15.75" customHeight="1">
      <c r="B1440" s="76"/>
      <c r="C1440" s="37"/>
      <c r="D1440" s="77"/>
      <c r="E1440" s="58"/>
    </row>
    <row r="1441" ht="15.75" customHeight="1">
      <c r="B1441" s="76"/>
      <c r="C1441" s="37"/>
      <c r="D1441" s="77"/>
      <c r="E1441" s="58"/>
    </row>
    <row r="1442" ht="15.75" customHeight="1">
      <c r="B1442" s="76"/>
      <c r="C1442" s="37"/>
      <c r="D1442" s="77"/>
      <c r="E1442" s="58"/>
    </row>
    <row r="1443" ht="15.75" customHeight="1">
      <c r="B1443" s="76"/>
      <c r="C1443" s="37"/>
      <c r="D1443" s="77"/>
      <c r="E1443" s="58"/>
    </row>
    <row r="1444" ht="15.75" customHeight="1">
      <c r="B1444" s="76"/>
      <c r="C1444" s="37"/>
      <c r="D1444" s="77"/>
      <c r="E1444" s="58"/>
    </row>
    <row r="1445" ht="15.75" customHeight="1">
      <c r="B1445" s="76"/>
      <c r="C1445" s="37"/>
      <c r="D1445" s="77"/>
      <c r="E1445" s="58"/>
    </row>
    <row r="1446" ht="15.75" customHeight="1">
      <c r="B1446" s="76"/>
      <c r="C1446" s="37"/>
      <c r="D1446" s="77"/>
      <c r="E1446" s="58"/>
    </row>
    <row r="1447" ht="15.75" customHeight="1">
      <c r="B1447" s="76"/>
      <c r="C1447" s="37"/>
      <c r="D1447" s="77"/>
      <c r="E1447" s="58"/>
    </row>
    <row r="1448" ht="15.75" customHeight="1">
      <c r="B1448" s="76"/>
      <c r="C1448" s="37"/>
      <c r="D1448" s="77"/>
      <c r="E1448" s="58"/>
    </row>
    <row r="1449" ht="15.75" customHeight="1">
      <c r="B1449" s="76"/>
      <c r="C1449" s="37"/>
      <c r="D1449" s="77"/>
      <c r="E1449" s="58"/>
    </row>
    <row r="1450" ht="15.75" customHeight="1">
      <c r="B1450" s="76"/>
      <c r="C1450" s="37"/>
      <c r="D1450" s="77"/>
      <c r="E1450" s="58"/>
    </row>
    <row r="1451" ht="15.75" customHeight="1">
      <c r="B1451" s="76"/>
      <c r="C1451" s="37"/>
      <c r="D1451" s="77"/>
      <c r="E1451" s="58"/>
    </row>
    <row r="1452" ht="15.75" customHeight="1">
      <c r="B1452" s="76"/>
      <c r="C1452" s="37"/>
      <c r="D1452" s="77"/>
      <c r="E1452" s="58"/>
    </row>
    <row r="1453" ht="15.75" customHeight="1">
      <c r="B1453" s="76"/>
      <c r="C1453" s="37"/>
      <c r="D1453" s="77"/>
      <c r="E1453" s="58"/>
    </row>
    <row r="1454" ht="15.75" customHeight="1">
      <c r="B1454" s="76"/>
      <c r="C1454" s="37"/>
      <c r="D1454" s="77"/>
      <c r="E1454" s="58"/>
    </row>
    <row r="1455" ht="15.75" customHeight="1">
      <c r="B1455" s="76"/>
      <c r="C1455" s="37"/>
      <c r="D1455" s="77"/>
      <c r="E1455" s="58"/>
    </row>
    <row r="1456" ht="15.75" customHeight="1">
      <c r="B1456" s="76"/>
      <c r="C1456" s="37"/>
      <c r="D1456" s="77"/>
      <c r="E1456" s="58"/>
    </row>
    <row r="1457" ht="15.75" customHeight="1">
      <c r="B1457" s="76"/>
      <c r="C1457" s="37"/>
      <c r="D1457" s="77"/>
      <c r="E1457" s="58"/>
    </row>
    <row r="1458" ht="15.75" customHeight="1">
      <c r="B1458" s="76"/>
      <c r="C1458" s="37"/>
      <c r="D1458" s="77"/>
      <c r="E1458" s="58"/>
    </row>
    <row r="1459" ht="15.75" customHeight="1">
      <c r="B1459" s="76"/>
      <c r="C1459" s="37"/>
      <c r="D1459" s="77"/>
      <c r="E1459" s="58"/>
    </row>
    <row r="1460" ht="15.75" customHeight="1">
      <c r="B1460" s="76"/>
      <c r="C1460" s="37"/>
      <c r="D1460" s="77"/>
      <c r="E1460" s="58"/>
    </row>
    <row r="1461" ht="15.75" customHeight="1">
      <c r="B1461" s="76"/>
      <c r="C1461" s="37"/>
      <c r="D1461" s="77"/>
      <c r="E1461" s="58"/>
    </row>
    <row r="1462" ht="15.75" customHeight="1">
      <c r="B1462" s="76"/>
      <c r="C1462" s="37"/>
      <c r="D1462" s="77"/>
      <c r="E1462" s="58"/>
    </row>
    <row r="1463" ht="15.75" customHeight="1">
      <c r="B1463" s="76"/>
      <c r="C1463" s="37"/>
      <c r="D1463" s="77"/>
      <c r="E1463" s="58"/>
    </row>
    <row r="1464" ht="15.75" customHeight="1">
      <c r="B1464" s="76"/>
      <c r="C1464" s="37"/>
      <c r="D1464" s="77"/>
      <c r="E1464" s="58"/>
    </row>
    <row r="1465" ht="15.75" customHeight="1">
      <c r="B1465" s="76"/>
      <c r="C1465" s="37"/>
      <c r="D1465" s="77"/>
      <c r="E1465" s="58"/>
    </row>
    <row r="1466" ht="15.75" customHeight="1">
      <c r="B1466" s="76"/>
      <c r="C1466" s="37"/>
      <c r="D1466" s="77"/>
      <c r="E1466" s="58"/>
    </row>
    <row r="1467" ht="15.75" customHeight="1">
      <c r="B1467" s="76"/>
      <c r="C1467" s="37"/>
      <c r="D1467" s="77"/>
      <c r="E1467" s="58"/>
    </row>
    <row r="1468" ht="15.75" customHeight="1">
      <c r="B1468" s="76"/>
      <c r="C1468" s="37"/>
      <c r="D1468" s="77"/>
      <c r="E1468" s="58"/>
    </row>
    <row r="1469" ht="15.75" customHeight="1">
      <c r="B1469" s="76"/>
      <c r="C1469" s="37"/>
      <c r="D1469" s="77"/>
      <c r="E1469" s="58"/>
    </row>
    <row r="1470" ht="15.75" customHeight="1">
      <c r="B1470" s="76"/>
      <c r="C1470" s="37"/>
      <c r="D1470" s="77"/>
      <c r="E1470" s="58"/>
    </row>
    <row r="1471" ht="15.75" customHeight="1">
      <c r="B1471" s="76"/>
      <c r="C1471" s="37"/>
      <c r="D1471" s="77"/>
      <c r="E1471" s="58"/>
    </row>
    <row r="1472" ht="15.75" customHeight="1">
      <c r="B1472" s="76"/>
      <c r="C1472" s="37"/>
      <c r="D1472" s="77"/>
      <c r="E1472" s="58"/>
    </row>
    <row r="1473" ht="15.75" customHeight="1">
      <c r="B1473" s="76"/>
      <c r="C1473" s="37"/>
      <c r="D1473" s="77"/>
      <c r="E1473" s="58"/>
    </row>
    <row r="1474" ht="15.75" customHeight="1">
      <c r="B1474" s="76"/>
      <c r="C1474" s="37"/>
      <c r="D1474" s="77"/>
      <c r="E1474" s="58"/>
    </row>
    <row r="1475" ht="15.75" customHeight="1">
      <c r="B1475" s="76"/>
      <c r="C1475" s="37"/>
      <c r="D1475" s="77"/>
      <c r="E1475" s="58"/>
    </row>
    <row r="1476" ht="15.75" customHeight="1">
      <c r="B1476" s="76"/>
      <c r="C1476" s="37"/>
      <c r="D1476" s="77"/>
      <c r="E1476" s="58"/>
    </row>
    <row r="1477" ht="15.75" customHeight="1">
      <c r="B1477" s="76"/>
      <c r="C1477" s="37"/>
      <c r="D1477" s="77"/>
      <c r="E1477" s="58"/>
    </row>
    <row r="1478" ht="15.75" customHeight="1">
      <c r="B1478" s="76"/>
      <c r="C1478" s="37"/>
      <c r="D1478" s="77"/>
      <c r="E1478" s="58"/>
    </row>
    <row r="1479" ht="15.75" customHeight="1">
      <c r="B1479" s="76"/>
      <c r="C1479" s="37"/>
      <c r="D1479" s="77"/>
      <c r="E1479" s="58"/>
    </row>
    <row r="1480" ht="15.75" customHeight="1">
      <c r="B1480" s="76"/>
      <c r="C1480" s="37"/>
      <c r="D1480" s="77"/>
      <c r="E1480" s="58"/>
    </row>
    <row r="1481" ht="15.75" customHeight="1">
      <c r="B1481" s="76"/>
      <c r="C1481" s="37"/>
      <c r="D1481" s="77"/>
      <c r="E1481" s="58"/>
    </row>
    <row r="1482" ht="15.75" customHeight="1">
      <c r="B1482" s="76"/>
      <c r="C1482" s="37"/>
      <c r="D1482" s="77"/>
      <c r="E1482" s="58"/>
    </row>
    <row r="1483" ht="15.75" customHeight="1">
      <c r="B1483" s="76"/>
      <c r="C1483" s="37"/>
      <c r="D1483" s="77"/>
      <c r="E1483" s="58"/>
    </row>
    <row r="1484" ht="15.75" customHeight="1">
      <c r="B1484" s="76"/>
      <c r="C1484" s="37"/>
      <c r="D1484" s="77"/>
      <c r="E1484" s="58"/>
    </row>
    <row r="1485" ht="15.75" customHeight="1">
      <c r="B1485" s="76"/>
      <c r="C1485" s="37"/>
      <c r="D1485" s="77"/>
      <c r="E1485" s="58"/>
    </row>
    <row r="1486" ht="15.75" customHeight="1">
      <c r="B1486" s="76"/>
      <c r="C1486" s="37"/>
      <c r="D1486" s="77"/>
      <c r="E1486" s="58"/>
    </row>
    <row r="1487" ht="15.75" customHeight="1">
      <c r="B1487" s="76"/>
      <c r="C1487" s="37"/>
      <c r="D1487" s="77"/>
      <c r="E1487" s="58"/>
    </row>
    <row r="1488" ht="15.75" customHeight="1">
      <c r="B1488" s="76"/>
      <c r="C1488" s="37"/>
      <c r="D1488" s="77"/>
      <c r="E1488" s="58"/>
    </row>
    <row r="1489" ht="15.75" customHeight="1">
      <c r="B1489" s="76"/>
      <c r="C1489" s="37"/>
      <c r="D1489" s="77"/>
      <c r="E1489" s="58"/>
    </row>
    <row r="1490" ht="15.75" customHeight="1">
      <c r="B1490" s="76"/>
      <c r="C1490" s="37"/>
      <c r="D1490" s="77"/>
      <c r="E1490" s="58"/>
    </row>
    <row r="1491" ht="15.75" customHeight="1">
      <c r="B1491" s="76"/>
      <c r="C1491" s="37"/>
      <c r="D1491" s="77"/>
      <c r="E1491" s="58"/>
    </row>
    <row r="1492" ht="15.75" customHeight="1">
      <c r="B1492" s="76"/>
      <c r="C1492" s="37"/>
      <c r="D1492" s="77"/>
      <c r="E1492" s="58"/>
    </row>
    <row r="1493" ht="15.75" customHeight="1">
      <c r="B1493" s="76"/>
      <c r="C1493" s="37"/>
      <c r="D1493" s="77"/>
      <c r="E1493" s="58"/>
    </row>
    <row r="1494" ht="15.75" customHeight="1">
      <c r="B1494" s="76"/>
      <c r="C1494" s="37"/>
      <c r="D1494" s="77"/>
      <c r="E1494" s="58"/>
    </row>
    <row r="1495" ht="15.75" customHeight="1">
      <c r="B1495" s="76"/>
      <c r="C1495" s="37"/>
      <c r="D1495" s="77"/>
      <c r="E1495" s="58"/>
    </row>
    <row r="1496" ht="15.75" customHeight="1">
      <c r="B1496" s="76"/>
      <c r="C1496" s="37"/>
      <c r="D1496" s="77"/>
      <c r="E1496" s="58"/>
    </row>
    <row r="1497" ht="15.75" customHeight="1">
      <c r="B1497" s="76"/>
      <c r="C1497" s="37"/>
      <c r="D1497" s="77"/>
      <c r="E1497" s="58"/>
    </row>
    <row r="1498" ht="15.75" customHeight="1">
      <c r="B1498" s="76"/>
      <c r="C1498" s="37"/>
      <c r="D1498" s="77"/>
      <c r="E1498" s="58"/>
    </row>
    <row r="1499" ht="15.75" customHeight="1">
      <c r="B1499" s="76"/>
      <c r="C1499" s="37"/>
      <c r="D1499" s="77"/>
      <c r="E1499" s="58"/>
    </row>
    <row r="1500" ht="15.75" customHeight="1">
      <c r="B1500" s="76"/>
      <c r="C1500" s="37"/>
      <c r="D1500" s="77"/>
      <c r="E1500" s="58"/>
    </row>
    <row r="1501" ht="15.75" customHeight="1">
      <c r="B1501" s="76"/>
      <c r="C1501" s="37"/>
      <c r="D1501" s="77"/>
      <c r="E1501" s="58"/>
    </row>
    <row r="1502" ht="15.75" customHeight="1">
      <c r="B1502" s="76"/>
      <c r="C1502" s="37"/>
      <c r="D1502" s="77"/>
      <c r="E1502" s="58"/>
    </row>
    <row r="1503" ht="15.75" customHeight="1">
      <c r="B1503" s="76"/>
      <c r="C1503" s="37"/>
      <c r="D1503" s="77"/>
      <c r="E1503" s="58"/>
    </row>
    <row r="1504" ht="15.75" customHeight="1">
      <c r="B1504" s="76"/>
      <c r="C1504" s="37"/>
      <c r="D1504" s="77"/>
      <c r="E1504" s="58"/>
    </row>
    <row r="1505" ht="15.75" customHeight="1">
      <c r="B1505" s="76"/>
      <c r="C1505" s="37"/>
      <c r="D1505" s="77"/>
      <c r="E1505" s="58"/>
    </row>
    <row r="1506" ht="15.75" customHeight="1">
      <c r="B1506" s="76"/>
      <c r="C1506" s="37"/>
      <c r="D1506" s="77"/>
      <c r="E1506" s="58"/>
    </row>
    <row r="1507" ht="15.75" customHeight="1">
      <c r="B1507" s="76"/>
      <c r="C1507" s="37"/>
      <c r="D1507" s="77"/>
      <c r="E1507" s="58"/>
    </row>
    <row r="1508" ht="15.75" customHeight="1">
      <c r="B1508" s="76"/>
      <c r="C1508" s="37"/>
      <c r="D1508" s="77"/>
      <c r="E1508" s="58"/>
    </row>
    <row r="1509" ht="15.75" customHeight="1">
      <c r="B1509" s="76"/>
      <c r="C1509" s="37"/>
      <c r="D1509" s="77"/>
      <c r="E1509" s="58"/>
    </row>
    <row r="1510" ht="15.75" customHeight="1">
      <c r="B1510" s="76"/>
      <c r="C1510" s="37"/>
      <c r="D1510" s="77"/>
      <c r="E1510" s="58"/>
    </row>
    <row r="1511" ht="15.75" customHeight="1">
      <c r="B1511" s="76"/>
      <c r="C1511" s="37"/>
      <c r="D1511" s="77"/>
      <c r="E1511" s="58"/>
    </row>
    <row r="1512" ht="15.75" customHeight="1">
      <c r="B1512" s="76"/>
      <c r="C1512" s="37"/>
      <c r="D1512" s="77"/>
      <c r="E1512" s="58"/>
    </row>
    <row r="1513" ht="15.75" customHeight="1">
      <c r="B1513" s="76"/>
      <c r="C1513" s="37"/>
      <c r="D1513" s="77"/>
      <c r="E1513" s="58"/>
    </row>
    <row r="1514" ht="15.75" customHeight="1">
      <c r="B1514" s="76"/>
      <c r="C1514" s="37"/>
      <c r="D1514" s="77"/>
      <c r="E1514" s="58"/>
    </row>
    <row r="1515" ht="15.75" customHeight="1">
      <c r="B1515" s="76"/>
      <c r="C1515" s="37"/>
      <c r="D1515" s="77"/>
      <c r="E1515" s="58"/>
    </row>
    <row r="1516" ht="15.75" customHeight="1">
      <c r="B1516" s="76"/>
      <c r="C1516" s="37"/>
      <c r="D1516" s="77"/>
      <c r="E1516" s="58"/>
    </row>
    <row r="1517" ht="15.75" customHeight="1">
      <c r="B1517" s="76"/>
      <c r="C1517" s="37"/>
      <c r="D1517" s="77"/>
      <c r="E1517" s="58"/>
    </row>
    <row r="1518" ht="15.75" customHeight="1">
      <c r="B1518" s="76"/>
      <c r="C1518" s="37"/>
      <c r="D1518" s="77"/>
      <c r="E1518" s="58"/>
    </row>
    <row r="1519" ht="15.75" customHeight="1">
      <c r="B1519" s="76"/>
      <c r="C1519" s="37"/>
      <c r="D1519" s="77"/>
      <c r="E1519" s="58"/>
    </row>
    <row r="1520" ht="15.75" customHeight="1">
      <c r="B1520" s="76"/>
      <c r="C1520" s="37"/>
      <c r="D1520" s="77"/>
      <c r="E1520" s="58"/>
    </row>
    <row r="1521" ht="15.75" customHeight="1">
      <c r="B1521" s="76"/>
      <c r="C1521" s="37"/>
      <c r="D1521" s="77"/>
      <c r="E1521" s="58"/>
    </row>
    <row r="1522" ht="15.75" customHeight="1">
      <c r="B1522" s="76"/>
      <c r="C1522" s="37"/>
      <c r="D1522" s="77"/>
      <c r="E1522" s="58"/>
    </row>
    <row r="1523" ht="15.75" customHeight="1">
      <c r="B1523" s="76"/>
      <c r="C1523" s="37"/>
      <c r="D1523" s="77"/>
      <c r="E1523" s="58"/>
    </row>
    <row r="1524" ht="15.75" customHeight="1">
      <c r="B1524" s="76"/>
      <c r="C1524" s="37"/>
      <c r="D1524" s="77"/>
      <c r="E1524" s="58"/>
    </row>
    <row r="1525" ht="15.75" customHeight="1">
      <c r="B1525" s="76"/>
      <c r="C1525" s="37"/>
      <c r="D1525" s="77"/>
      <c r="E1525" s="58"/>
    </row>
    <row r="1526" ht="15.75" customHeight="1">
      <c r="B1526" s="76"/>
      <c r="C1526" s="37"/>
      <c r="D1526" s="77"/>
      <c r="E1526" s="58"/>
    </row>
    <row r="1527" ht="15.75" customHeight="1">
      <c r="B1527" s="76"/>
      <c r="C1527" s="37"/>
      <c r="D1527" s="77"/>
      <c r="E1527" s="58"/>
    </row>
    <row r="1528" ht="15.75" customHeight="1">
      <c r="B1528" s="76"/>
      <c r="C1528" s="37"/>
      <c r="D1528" s="77"/>
      <c r="E1528" s="58"/>
    </row>
    <row r="1529" ht="15.75" customHeight="1">
      <c r="B1529" s="76"/>
      <c r="C1529" s="37"/>
      <c r="D1529" s="77"/>
      <c r="E1529" s="58"/>
    </row>
    <row r="1530" ht="15.75" customHeight="1">
      <c r="B1530" s="76"/>
      <c r="C1530" s="37"/>
      <c r="D1530" s="77"/>
      <c r="E1530" s="58"/>
    </row>
    <row r="1531" ht="15.75" customHeight="1">
      <c r="B1531" s="76"/>
      <c r="C1531" s="37"/>
      <c r="D1531" s="77"/>
      <c r="E1531" s="58"/>
    </row>
    <row r="1532" ht="15.75" customHeight="1">
      <c r="B1532" s="76"/>
      <c r="C1532" s="37"/>
      <c r="D1532" s="77"/>
      <c r="E1532" s="58"/>
    </row>
    <row r="1533" ht="15.75" customHeight="1">
      <c r="B1533" s="76"/>
      <c r="C1533" s="37"/>
      <c r="D1533" s="77"/>
      <c r="E1533" s="58"/>
    </row>
    <row r="1534" ht="15.75" customHeight="1">
      <c r="B1534" s="76"/>
      <c r="C1534" s="37"/>
      <c r="D1534" s="77"/>
      <c r="E1534" s="58"/>
    </row>
    <row r="1535" ht="15.75" customHeight="1">
      <c r="B1535" s="76"/>
      <c r="C1535" s="37"/>
      <c r="D1535" s="77"/>
      <c r="E1535" s="58"/>
    </row>
    <row r="1536" ht="15.75" customHeight="1">
      <c r="B1536" s="76"/>
      <c r="C1536" s="37"/>
      <c r="D1536" s="77"/>
      <c r="E1536" s="58"/>
    </row>
    <row r="1537" ht="15.75" customHeight="1">
      <c r="B1537" s="76"/>
      <c r="C1537" s="37"/>
      <c r="D1537" s="77"/>
      <c r="E1537" s="58"/>
    </row>
    <row r="1538" ht="15.75" customHeight="1">
      <c r="B1538" s="76"/>
      <c r="C1538" s="37"/>
      <c r="D1538" s="77"/>
      <c r="E1538" s="58"/>
    </row>
    <row r="1539" ht="15.75" customHeight="1">
      <c r="B1539" s="76"/>
      <c r="C1539" s="37"/>
      <c r="D1539" s="77"/>
      <c r="E1539" s="58"/>
    </row>
    <row r="1540" ht="15.75" customHeight="1">
      <c r="B1540" s="76"/>
      <c r="C1540" s="37"/>
      <c r="D1540" s="77"/>
      <c r="E1540" s="58"/>
    </row>
    <row r="1541" ht="15.75" customHeight="1">
      <c r="B1541" s="76"/>
      <c r="C1541" s="37"/>
      <c r="D1541" s="77"/>
      <c r="E1541" s="58"/>
    </row>
    <row r="1542" ht="15.75" customHeight="1">
      <c r="B1542" s="76"/>
      <c r="C1542" s="37"/>
      <c r="D1542" s="77"/>
      <c r="E1542" s="58"/>
    </row>
    <row r="1543" ht="15.75" customHeight="1">
      <c r="B1543" s="76"/>
      <c r="C1543" s="37"/>
      <c r="D1543" s="77"/>
      <c r="E1543" s="58"/>
    </row>
    <row r="1544" ht="15.75" customHeight="1">
      <c r="B1544" s="76"/>
      <c r="C1544" s="37"/>
      <c r="D1544" s="77"/>
      <c r="E1544" s="58"/>
    </row>
    <row r="1545" ht="15.75" customHeight="1">
      <c r="B1545" s="76"/>
      <c r="C1545" s="37"/>
      <c r="D1545" s="77"/>
      <c r="E1545" s="58"/>
    </row>
    <row r="1546" ht="15.75" customHeight="1">
      <c r="B1546" s="76"/>
      <c r="C1546" s="37"/>
      <c r="D1546" s="77"/>
      <c r="E1546" s="58"/>
    </row>
    <row r="1547" ht="15.75" customHeight="1">
      <c r="B1547" s="76"/>
      <c r="C1547" s="37"/>
      <c r="D1547" s="77"/>
      <c r="E1547" s="58"/>
    </row>
    <row r="1548" ht="15.75" customHeight="1">
      <c r="B1548" s="76"/>
      <c r="C1548" s="37"/>
      <c r="D1548" s="77"/>
      <c r="E1548" s="58"/>
    </row>
    <row r="1549" ht="15.75" customHeight="1">
      <c r="B1549" s="76"/>
      <c r="C1549" s="37"/>
      <c r="D1549" s="77"/>
      <c r="E1549" s="58"/>
    </row>
    <row r="1550" ht="15.75" customHeight="1">
      <c r="B1550" s="76"/>
      <c r="C1550" s="37"/>
      <c r="D1550" s="77"/>
      <c r="E1550" s="58"/>
    </row>
    <row r="1551" ht="15.75" customHeight="1">
      <c r="B1551" s="76"/>
      <c r="C1551" s="37"/>
      <c r="D1551" s="77"/>
      <c r="E1551" s="58"/>
    </row>
    <row r="1552" ht="15.75" customHeight="1">
      <c r="B1552" s="76"/>
      <c r="C1552" s="37"/>
      <c r="D1552" s="77"/>
      <c r="E1552" s="58"/>
    </row>
    <row r="1553" ht="15.75" customHeight="1">
      <c r="B1553" s="76"/>
      <c r="C1553" s="37"/>
      <c r="D1553" s="77"/>
      <c r="E1553" s="58"/>
    </row>
    <row r="1554" ht="15.75" customHeight="1">
      <c r="B1554" s="76"/>
      <c r="C1554" s="37"/>
      <c r="D1554" s="77"/>
      <c r="E1554" s="58"/>
    </row>
    <row r="1555" ht="15.75" customHeight="1">
      <c r="B1555" s="76"/>
      <c r="C1555" s="37"/>
      <c r="D1555" s="77"/>
      <c r="E1555" s="58"/>
    </row>
    <row r="1556" ht="15.75" customHeight="1">
      <c r="B1556" s="76"/>
      <c r="C1556" s="37"/>
      <c r="D1556" s="77"/>
      <c r="E1556" s="58"/>
    </row>
    <row r="1557" ht="15.75" customHeight="1">
      <c r="B1557" s="76"/>
      <c r="C1557" s="37"/>
      <c r="D1557" s="77"/>
      <c r="E1557" s="58"/>
    </row>
    <row r="1558" ht="15.75" customHeight="1">
      <c r="B1558" s="76"/>
      <c r="C1558" s="37"/>
      <c r="D1558" s="77"/>
      <c r="E1558" s="58"/>
    </row>
    <row r="1559" ht="15.75" customHeight="1">
      <c r="B1559" s="76"/>
      <c r="C1559" s="37"/>
      <c r="D1559" s="77"/>
      <c r="E1559" s="58"/>
    </row>
    <row r="1560" ht="15.75" customHeight="1">
      <c r="B1560" s="76"/>
      <c r="C1560" s="37"/>
      <c r="D1560" s="77"/>
      <c r="E1560" s="58"/>
    </row>
    <row r="1561" ht="15.75" customHeight="1">
      <c r="B1561" s="76"/>
      <c r="C1561" s="37"/>
      <c r="D1561" s="77"/>
      <c r="E1561" s="58"/>
    </row>
    <row r="1562" ht="15.75" customHeight="1">
      <c r="B1562" s="76"/>
      <c r="C1562" s="37"/>
      <c r="D1562" s="77"/>
      <c r="E1562" s="58"/>
    </row>
    <row r="1563" ht="15.75" customHeight="1">
      <c r="B1563" s="76"/>
      <c r="C1563" s="37"/>
      <c r="D1563" s="77"/>
      <c r="E1563" s="58"/>
    </row>
    <row r="1564" ht="15.75" customHeight="1">
      <c r="B1564" s="76"/>
      <c r="C1564" s="37"/>
      <c r="D1564" s="77"/>
      <c r="E1564" s="58"/>
    </row>
    <row r="1565" ht="15.75" customHeight="1">
      <c r="B1565" s="76"/>
      <c r="C1565" s="37"/>
      <c r="D1565" s="77"/>
      <c r="E1565" s="58"/>
    </row>
    <row r="1566" ht="15.75" customHeight="1">
      <c r="B1566" s="76"/>
      <c r="C1566" s="37"/>
      <c r="D1566" s="77"/>
      <c r="E1566" s="58"/>
    </row>
    <row r="1567" ht="15.75" customHeight="1">
      <c r="B1567" s="76"/>
      <c r="C1567" s="37"/>
      <c r="D1567" s="77"/>
      <c r="E1567" s="58"/>
    </row>
    <row r="1568" ht="15.75" customHeight="1">
      <c r="B1568" s="76"/>
      <c r="C1568" s="37"/>
      <c r="D1568" s="77"/>
      <c r="E1568" s="58"/>
    </row>
    <row r="1569" ht="15.75" customHeight="1">
      <c r="B1569" s="76"/>
      <c r="C1569" s="37"/>
      <c r="D1569" s="77"/>
      <c r="E1569" s="58"/>
    </row>
    <row r="1570" ht="15.75" customHeight="1">
      <c r="B1570" s="76"/>
      <c r="C1570" s="37"/>
      <c r="D1570" s="77"/>
      <c r="E1570" s="58"/>
    </row>
    <row r="1571" ht="15.75" customHeight="1">
      <c r="B1571" s="76"/>
      <c r="C1571" s="37"/>
      <c r="D1571" s="77"/>
      <c r="E1571" s="58"/>
    </row>
    <row r="1572" ht="15.75" customHeight="1">
      <c r="B1572" s="76"/>
      <c r="C1572" s="37"/>
      <c r="D1572" s="77"/>
      <c r="E1572" s="58"/>
    </row>
    <row r="1573" ht="15.75" customHeight="1">
      <c r="B1573" s="76"/>
      <c r="C1573" s="37"/>
      <c r="D1573" s="77"/>
      <c r="E1573" s="58"/>
    </row>
    <row r="1574" ht="15.75" customHeight="1">
      <c r="B1574" s="76"/>
      <c r="C1574" s="37"/>
      <c r="D1574" s="77"/>
      <c r="E1574" s="58"/>
    </row>
    <row r="1575" ht="15.75" customHeight="1">
      <c r="B1575" s="76"/>
      <c r="C1575" s="37"/>
      <c r="D1575" s="77"/>
      <c r="E1575" s="58"/>
    </row>
    <row r="1576" ht="15.75" customHeight="1">
      <c r="B1576" s="76"/>
      <c r="C1576" s="37"/>
      <c r="D1576" s="77"/>
      <c r="E1576" s="58"/>
    </row>
    <row r="1577" ht="15.75" customHeight="1">
      <c r="B1577" s="76"/>
      <c r="C1577" s="37"/>
      <c r="D1577" s="77"/>
      <c r="E1577" s="58"/>
    </row>
    <row r="1578" ht="15.75" customHeight="1">
      <c r="B1578" s="76"/>
      <c r="C1578" s="37"/>
      <c r="D1578" s="77"/>
      <c r="E1578" s="58"/>
    </row>
    <row r="1579" ht="15.75" customHeight="1">
      <c r="B1579" s="76"/>
      <c r="C1579" s="37"/>
      <c r="D1579" s="77"/>
      <c r="E1579" s="58"/>
    </row>
    <row r="1580" ht="15.75" customHeight="1">
      <c r="B1580" s="76"/>
      <c r="C1580" s="37"/>
      <c r="D1580" s="77"/>
      <c r="E1580" s="58"/>
    </row>
    <row r="1581" ht="15.75" customHeight="1">
      <c r="B1581" s="76"/>
      <c r="C1581" s="37"/>
      <c r="D1581" s="77"/>
      <c r="E1581" s="58"/>
    </row>
    <row r="1582" ht="15.75" customHeight="1">
      <c r="B1582" s="76"/>
      <c r="C1582" s="37"/>
      <c r="D1582" s="77"/>
      <c r="E1582" s="58"/>
    </row>
    <row r="1583" ht="15.75" customHeight="1">
      <c r="B1583" s="76"/>
      <c r="C1583" s="37"/>
      <c r="D1583" s="77"/>
      <c r="E1583" s="58"/>
    </row>
    <row r="1584" ht="15.75" customHeight="1">
      <c r="B1584" s="76"/>
      <c r="C1584" s="37"/>
      <c r="D1584" s="77"/>
      <c r="E1584" s="58"/>
    </row>
    <row r="1585" ht="15.75" customHeight="1">
      <c r="B1585" s="76"/>
      <c r="C1585" s="37"/>
      <c r="D1585" s="77"/>
      <c r="E1585" s="58"/>
    </row>
    <row r="1586" ht="15.75" customHeight="1">
      <c r="B1586" s="76"/>
      <c r="C1586" s="37"/>
      <c r="D1586" s="77"/>
      <c r="E1586" s="58"/>
    </row>
    <row r="1587" ht="15.75" customHeight="1">
      <c r="B1587" s="76"/>
      <c r="C1587" s="37"/>
      <c r="D1587" s="77"/>
      <c r="E1587" s="58"/>
    </row>
    <row r="1588" ht="15.75" customHeight="1">
      <c r="B1588" s="76"/>
      <c r="C1588" s="37"/>
      <c r="D1588" s="77"/>
      <c r="E1588" s="58"/>
    </row>
    <row r="1589" ht="15.75" customHeight="1">
      <c r="B1589" s="76"/>
      <c r="C1589" s="37"/>
      <c r="D1589" s="77"/>
      <c r="E1589" s="58"/>
    </row>
    <row r="1590" ht="15.75" customHeight="1">
      <c r="B1590" s="76"/>
      <c r="C1590" s="37"/>
      <c r="D1590" s="77"/>
      <c r="E1590" s="58"/>
    </row>
    <row r="1591" ht="15.75" customHeight="1">
      <c r="B1591" s="76"/>
      <c r="C1591" s="37"/>
      <c r="D1591" s="77"/>
      <c r="E1591" s="58"/>
    </row>
    <row r="1592" ht="15.75" customHeight="1">
      <c r="B1592" s="76"/>
      <c r="C1592" s="37"/>
      <c r="D1592" s="77"/>
      <c r="E1592" s="58"/>
    </row>
    <row r="1593" ht="15.75" customHeight="1">
      <c r="B1593" s="76"/>
      <c r="C1593" s="37"/>
      <c r="D1593" s="77"/>
      <c r="E1593" s="58"/>
    </row>
    <row r="1594" ht="15.75" customHeight="1">
      <c r="B1594" s="76"/>
      <c r="C1594" s="37"/>
      <c r="D1594" s="77"/>
      <c r="E1594" s="58"/>
    </row>
    <row r="1595" ht="15.75" customHeight="1">
      <c r="B1595" s="76"/>
      <c r="C1595" s="37"/>
      <c r="D1595" s="77"/>
      <c r="E1595" s="58"/>
    </row>
    <row r="1596" ht="15.75" customHeight="1">
      <c r="B1596" s="76"/>
      <c r="C1596" s="37"/>
      <c r="D1596" s="77"/>
      <c r="E1596" s="58"/>
    </row>
    <row r="1597" ht="15.75" customHeight="1">
      <c r="B1597" s="76"/>
      <c r="C1597" s="37"/>
      <c r="D1597" s="77"/>
      <c r="E1597" s="58"/>
    </row>
    <row r="1598" ht="15.75" customHeight="1">
      <c r="B1598" s="76"/>
      <c r="C1598" s="37"/>
      <c r="D1598" s="77"/>
      <c r="E1598" s="58"/>
    </row>
    <row r="1599" ht="15.75" customHeight="1">
      <c r="B1599" s="76"/>
      <c r="C1599" s="37"/>
      <c r="D1599" s="77"/>
      <c r="E1599" s="58"/>
    </row>
    <row r="1600" ht="15.75" customHeight="1">
      <c r="B1600" s="76"/>
      <c r="C1600" s="37"/>
      <c r="D1600" s="77"/>
      <c r="E1600" s="58"/>
    </row>
    <row r="1601" ht="15.75" customHeight="1">
      <c r="B1601" s="76"/>
      <c r="C1601" s="37"/>
      <c r="D1601" s="77"/>
      <c r="E1601" s="58"/>
    </row>
    <row r="1602" ht="15.75" customHeight="1">
      <c r="B1602" s="76"/>
      <c r="C1602" s="37"/>
      <c r="D1602" s="77"/>
      <c r="E1602" s="58"/>
    </row>
    <row r="1603" ht="15.75" customHeight="1">
      <c r="B1603" s="76"/>
      <c r="C1603" s="37"/>
      <c r="D1603" s="77"/>
      <c r="E1603" s="58"/>
    </row>
    <row r="1604" ht="15.75" customHeight="1">
      <c r="B1604" s="76"/>
      <c r="C1604" s="37"/>
      <c r="D1604" s="77"/>
      <c r="E1604" s="58"/>
    </row>
    <row r="1605" ht="15.75" customHeight="1">
      <c r="B1605" s="76"/>
      <c r="C1605" s="37"/>
      <c r="D1605" s="77"/>
      <c r="E1605" s="58"/>
    </row>
    <row r="1606" ht="15.75" customHeight="1">
      <c r="B1606" s="76"/>
      <c r="C1606" s="37"/>
      <c r="D1606" s="77"/>
      <c r="E1606" s="58"/>
    </row>
    <row r="1607" ht="15.75" customHeight="1">
      <c r="B1607" s="76"/>
      <c r="C1607" s="37"/>
      <c r="D1607" s="77"/>
      <c r="E1607" s="58"/>
    </row>
    <row r="1608" ht="15.75" customHeight="1">
      <c r="B1608" s="76"/>
      <c r="C1608" s="37"/>
      <c r="D1608" s="77"/>
      <c r="E1608" s="58"/>
    </row>
    <row r="1609" ht="15.75" customHeight="1">
      <c r="B1609" s="76"/>
      <c r="C1609" s="37"/>
      <c r="D1609" s="77"/>
      <c r="E1609" s="58"/>
    </row>
    <row r="1610" ht="15.75" customHeight="1">
      <c r="B1610" s="76"/>
      <c r="C1610" s="37"/>
      <c r="D1610" s="77"/>
      <c r="E1610" s="58"/>
    </row>
    <row r="1611" ht="15.75" customHeight="1">
      <c r="B1611" s="76"/>
      <c r="C1611" s="37"/>
      <c r="D1611" s="77"/>
      <c r="E1611" s="58"/>
    </row>
    <row r="1612" ht="15.75" customHeight="1">
      <c r="B1612" s="76"/>
      <c r="C1612" s="37"/>
      <c r="D1612" s="77"/>
      <c r="E1612" s="58"/>
    </row>
    <row r="1613" ht="15.75" customHeight="1">
      <c r="B1613" s="76"/>
      <c r="C1613" s="37"/>
      <c r="D1613" s="77"/>
      <c r="E1613" s="58"/>
    </row>
    <row r="1614" ht="15.75" customHeight="1">
      <c r="B1614" s="76"/>
      <c r="C1614" s="37"/>
      <c r="D1614" s="77"/>
      <c r="E1614" s="58"/>
    </row>
    <row r="1615" ht="15.75" customHeight="1">
      <c r="B1615" s="76"/>
      <c r="C1615" s="37"/>
      <c r="D1615" s="77"/>
      <c r="E1615" s="58"/>
    </row>
    <row r="1616" ht="15.75" customHeight="1">
      <c r="B1616" s="76"/>
      <c r="C1616" s="37"/>
      <c r="D1616" s="77"/>
      <c r="E1616" s="58"/>
    </row>
    <row r="1617" ht="15.75" customHeight="1">
      <c r="B1617" s="76"/>
      <c r="C1617" s="37"/>
      <c r="D1617" s="77"/>
      <c r="E1617" s="58"/>
    </row>
    <row r="1618" ht="15.75" customHeight="1">
      <c r="B1618" s="76"/>
      <c r="C1618" s="37"/>
      <c r="D1618" s="77"/>
      <c r="E1618" s="58"/>
    </row>
    <row r="1619" ht="15.75" customHeight="1">
      <c r="B1619" s="76"/>
      <c r="C1619" s="37"/>
      <c r="D1619" s="77"/>
      <c r="E1619" s="58"/>
    </row>
    <row r="1620" ht="15.75" customHeight="1">
      <c r="B1620" s="76"/>
      <c r="C1620" s="37"/>
      <c r="D1620" s="77"/>
      <c r="E1620" s="58"/>
    </row>
    <row r="1621" ht="15.75" customHeight="1">
      <c r="B1621" s="76"/>
      <c r="C1621" s="37"/>
      <c r="D1621" s="77"/>
      <c r="E1621" s="58"/>
    </row>
    <row r="1622" ht="15.75" customHeight="1">
      <c r="B1622" s="76"/>
      <c r="C1622" s="37"/>
      <c r="D1622" s="77"/>
      <c r="E1622" s="58"/>
    </row>
    <row r="1623" ht="15.75" customHeight="1">
      <c r="B1623" s="76"/>
      <c r="C1623" s="37"/>
      <c r="D1623" s="77"/>
      <c r="E1623" s="58"/>
    </row>
    <row r="1624" ht="15.75" customHeight="1">
      <c r="B1624" s="76"/>
      <c r="C1624" s="37"/>
      <c r="D1624" s="77"/>
      <c r="E1624" s="58"/>
    </row>
    <row r="1625" ht="15.75" customHeight="1">
      <c r="B1625" s="76"/>
      <c r="C1625" s="37"/>
      <c r="D1625" s="77"/>
      <c r="E1625" s="58"/>
    </row>
    <row r="1626" ht="15.75" customHeight="1">
      <c r="B1626" s="76"/>
      <c r="C1626" s="37"/>
      <c r="D1626" s="77"/>
      <c r="E1626" s="58"/>
    </row>
    <row r="1627" ht="15.75" customHeight="1">
      <c r="B1627" s="76"/>
      <c r="C1627" s="37"/>
      <c r="D1627" s="77"/>
      <c r="E1627" s="58"/>
    </row>
    <row r="1628" ht="15.75" customHeight="1">
      <c r="B1628" s="76"/>
      <c r="C1628" s="37"/>
      <c r="D1628" s="77"/>
      <c r="E1628" s="58"/>
    </row>
    <row r="1629" ht="15.75" customHeight="1">
      <c r="B1629" s="76"/>
      <c r="C1629" s="37"/>
      <c r="D1629" s="77"/>
      <c r="E1629" s="58"/>
    </row>
    <row r="1630" ht="15.75" customHeight="1">
      <c r="B1630" s="76"/>
      <c r="C1630" s="37"/>
      <c r="D1630" s="77"/>
      <c r="E1630" s="58"/>
    </row>
    <row r="1631" ht="15.75" customHeight="1">
      <c r="B1631" s="76"/>
      <c r="C1631" s="37"/>
      <c r="D1631" s="77"/>
      <c r="E1631" s="58"/>
    </row>
    <row r="1632" ht="15.75" customHeight="1">
      <c r="B1632" s="76"/>
      <c r="C1632" s="37"/>
      <c r="D1632" s="77"/>
      <c r="E1632" s="58"/>
    </row>
    <row r="1633" ht="15.75" customHeight="1">
      <c r="B1633" s="76"/>
      <c r="C1633" s="37"/>
      <c r="D1633" s="77"/>
      <c r="E1633" s="58"/>
    </row>
    <row r="1634" ht="15.75" customHeight="1">
      <c r="B1634" s="76"/>
      <c r="C1634" s="37"/>
      <c r="D1634" s="77"/>
      <c r="E1634" s="58"/>
    </row>
    <row r="1635" ht="15.75" customHeight="1">
      <c r="B1635" s="76"/>
      <c r="C1635" s="37"/>
      <c r="D1635" s="77"/>
      <c r="E1635" s="58"/>
    </row>
    <row r="1636" ht="15.75" customHeight="1">
      <c r="B1636" s="76"/>
      <c r="C1636" s="37"/>
      <c r="D1636" s="77"/>
      <c r="E1636" s="58"/>
    </row>
    <row r="1637" ht="15.75" customHeight="1">
      <c r="B1637" s="76"/>
      <c r="C1637" s="37"/>
      <c r="D1637" s="77"/>
      <c r="E1637" s="58"/>
    </row>
    <row r="1638" ht="15.75" customHeight="1">
      <c r="B1638" s="76"/>
      <c r="C1638" s="37"/>
      <c r="D1638" s="77"/>
      <c r="E1638" s="58"/>
    </row>
    <row r="1639" ht="15.75" customHeight="1">
      <c r="B1639" s="76"/>
      <c r="C1639" s="37"/>
      <c r="D1639" s="77"/>
      <c r="E1639" s="58"/>
    </row>
    <row r="1640" ht="15.75" customHeight="1">
      <c r="B1640" s="76"/>
      <c r="C1640" s="37"/>
      <c r="D1640" s="77"/>
      <c r="E1640" s="58"/>
    </row>
    <row r="1641" ht="15.75" customHeight="1">
      <c r="B1641" s="76"/>
      <c r="C1641" s="37"/>
      <c r="D1641" s="77"/>
      <c r="E1641" s="58"/>
    </row>
    <row r="1642" ht="15.75" customHeight="1">
      <c r="B1642" s="76"/>
      <c r="C1642" s="37"/>
      <c r="D1642" s="77"/>
      <c r="E1642" s="58"/>
    </row>
    <row r="1643" ht="15.75" customHeight="1">
      <c r="B1643" s="76"/>
      <c r="C1643" s="37"/>
      <c r="D1643" s="77"/>
      <c r="E1643" s="58"/>
    </row>
    <row r="1644" ht="15.75" customHeight="1">
      <c r="B1644" s="76"/>
      <c r="C1644" s="37"/>
      <c r="D1644" s="77"/>
      <c r="E1644" s="58"/>
    </row>
    <row r="1645" ht="15.75" customHeight="1">
      <c r="B1645" s="76"/>
      <c r="C1645" s="37"/>
      <c r="D1645" s="77"/>
      <c r="E1645" s="58"/>
    </row>
    <row r="1646" ht="15.75" customHeight="1">
      <c r="B1646" s="76"/>
      <c r="C1646" s="37"/>
      <c r="D1646" s="77"/>
      <c r="E1646" s="58"/>
    </row>
    <row r="1647" ht="15.75" customHeight="1">
      <c r="B1647" s="76"/>
      <c r="C1647" s="37"/>
      <c r="D1647" s="77"/>
      <c r="E1647" s="58"/>
    </row>
    <row r="1648" ht="15.75" customHeight="1">
      <c r="B1648" s="76"/>
      <c r="C1648" s="37"/>
      <c r="D1648" s="77"/>
      <c r="E1648" s="58"/>
    </row>
    <row r="1649" ht="15.75" customHeight="1">
      <c r="B1649" s="76"/>
      <c r="C1649" s="37"/>
      <c r="D1649" s="77"/>
      <c r="E1649" s="58"/>
    </row>
    <row r="1650" ht="15.75" customHeight="1">
      <c r="B1650" s="76"/>
      <c r="C1650" s="37"/>
      <c r="D1650" s="77"/>
      <c r="E1650" s="58"/>
    </row>
    <row r="1651" ht="15.75" customHeight="1">
      <c r="B1651" s="76"/>
      <c r="C1651" s="37"/>
      <c r="D1651" s="77"/>
      <c r="E1651" s="58"/>
    </row>
    <row r="1652" ht="15.75" customHeight="1">
      <c r="B1652" s="76"/>
      <c r="C1652" s="37"/>
      <c r="D1652" s="77"/>
      <c r="E1652" s="58"/>
    </row>
    <row r="1653" ht="15.75" customHeight="1">
      <c r="B1653" s="76"/>
      <c r="C1653" s="37"/>
      <c r="D1653" s="77"/>
      <c r="E1653" s="58"/>
    </row>
    <row r="1654" ht="15.75" customHeight="1">
      <c r="B1654" s="76"/>
      <c r="C1654" s="37"/>
      <c r="D1654" s="77"/>
      <c r="E1654" s="58"/>
    </row>
    <row r="1655" ht="15.75" customHeight="1">
      <c r="B1655" s="76"/>
      <c r="C1655" s="37"/>
      <c r="D1655" s="77"/>
      <c r="E1655" s="58"/>
    </row>
    <row r="1656" ht="15.75" customHeight="1">
      <c r="B1656" s="76"/>
      <c r="C1656" s="37"/>
      <c r="D1656" s="77"/>
      <c r="E1656" s="58"/>
    </row>
    <row r="1657" ht="15.75" customHeight="1">
      <c r="B1657" s="76"/>
      <c r="C1657" s="37"/>
      <c r="D1657" s="77"/>
      <c r="E1657" s="58"/>
    </row>
    <row r="1658" ht="15.75" customHeight="1">
      <c r="B1658" s="76"/>
      <c r="C1658" s="37"/>
      <c r="D1658" s="77"/>
      <c r="E1658" s="58"/>
    </row>
    <row r="1659" ht="15.75" customHeight="1">
      <c r="B1659" s="76"/>
      <c r="C1659" s="37"/>
      <c r="D1659" s="77"/>
      <c r="E1659" s="58"/>
    </row>
    <row r="1660" ht="15.75" customHeight="1">
      <c r="B1660" s="76"/>
      <c r="C1660" s="37"/>
      <c r="D1660" s="77"/>
      <c r="E1660" s="58"/>
    </row>
    <row r="1661" ht="15.75" customHeight="1">
      <c r="B1661" s="76"/>
      <c r="C1661" s="37"/>
      <c r="D1661" s="77"/>
      <c r="E1661" s="58"/>
    </row>
    <row r="1662" ht="15.75" customHeight="1">
      <c r="B1662" s="76"/>
      <c r="C1662" s="37"/>
      <c r="D1662" s="77"/>
      <c r="E1662" s="58"/>
    </row>
    <row r="1663" ht="15.75" customHeight="1">
      <c r="B1663" s="76"/>
      <c r="C1663" s="37"/>
      <c r="D1663" s="77"/>
      <c r="E1663" s="58"/>
    </row>
    <row r="1664" ht="15.75" customHeight="1">
      <c r="B1664" s="76"/>
      <c r="C1664" s="37"/>
      <c r="D1664" s="77"/>
      <c r="E1664" s="58"/>
    </row>
    <row r="1665" ht="15.75" customHeight="1">
      <c r="B1665" s="76"/>
      <c r="C1665" s="37"/>
      <c r="D1665" s="77"/>
      <c r="E1665" s="58"/>
    </row>
    <row r="1666" ht="15.75" customHeight="1">
      <c r="B1666" s="76"/>
      <c r="C1666" s="37"/>
      <c r="D1666" s="77"/>
      <c r="E1666" s="58"/>
    </row>
    <row r="1667" ht="15.75" customHeight="1">
      <c r="B1667" s="76"/>
      <c r="C1667" s="37"/>
      <c r="D1667" s="77"/>
      <c r="E1667" s="58"/>
    </row>
    <row r="1668" ht="15.75" customHeight="1">
      <c r="B1668" s="76"/>
      <c r="C1668" s="37"/>
      <c r="D1668" s="77"/>
      <c r="E1668" s="58"/>
    </row>
    <row r="1669" ht="15.75" customHeight="1">
      <c r="B1669" s="76"/>
      <c r="C1669" s="37"/>
      <c r="D1669" s="77"/>
      <c r="E1669" s="58"/>
    </row>
    <row r="1670" ht="15.75" customHeight="1">
      <c r="B1670" s="76"/>
      <c r="C1670" s="37"/>
      <c r="D1670" s="77"/>
      <c r="E1670" s="58"/>
    </row>
    <row r="1671" ht="15.75" customHeight="1">
      <c r="B1671" s="76"/>
      <c r="C1671" s="37"/>
      <c r="D1671" s="77"/>
      <c r="E1671" s="58"/>
    </row>
    <row r="1672" ht="15.75" customHeight="1">
      <c r="B1672" s="76"/>
      <c r="C1672" s="37"/>
      <c r="D1672" s="77"/>
      <c r="E1672" s="58"/>
    </row>
    <row r="1673" ht="15.75" customHeight="1">
      <c r="B1673" s="76"/>
      <c r="C1673" s="37"/>
      <c r="D1673" s="77"/>
      <c r="E1673" s="58"/>
    </row>
    <row r="1674" ht="15.75" customHeight="1">
      <c r="B1674" s="76"/>
      <c r="C1674" s="37"/>
      <c r="D1674" s="77"/>
      <c r="E1674" s="58"/>
    </row>
    <row r="1675" ht="15.75" customHeight="1">
      <c r="B1675" s="76"/>
      <c r="C1675" s="37"/>
      <c r="D1675" s="77"/>
      <c r="E1675" s="58"/>
    </row>
    <row r="1676" ht="15.75" customHeight="1">
      <c r="B1676" s="76"/>
      <c r="C1676" s="37"/>
      <c r="D1676" s="77"/>
      <c r="E1676" s="58"/>
    </row>
    <row r="1677" ht="15.75" customHeight="1">
      <c r="B1677" s="76"/>
      <c r="C1677" s="37"/>
      <c r="D1677" s="77"/>
      <c r="E1677" s="58"/>
    </row>
    <row r="1678" ht="15.75" customHeight="1">
      <c r="B1678" s="76"/>
      <c r="C1678" s="37"/>
      <c r="D1678" s="77"/>
      <c r="E1678" s="58"/>
    </row>
    <row r="1679" ht="15.75" customHeight="1">
      <c r="B1679" s="76"/>
      <c r="C1679" s="37"/>
      <c r="D1679" s="77"/>
      <c r="E1679" s="58"/>
    </row>
    <row r="1680" ht="15.75" customHeight="1">
      <c r="B1680" s="76"/>
      <c r="C1680" s="37"/>
      <c r="D1680" s="77"/>
      <c r="E1680" s="58"/>
    </row>
    <row r="1681" ht="15.75" customHeight="1">
      <c r="B1681" s="76"/>
      <c r="C1681" s="37"/>
      <c r="D1681" s="77"/>
      <c r="E1681" s="58"/>
    </row>
    <row r="1682" ht="15.75" customHeight="1">
      <c r="B1682" s="76"/>
      <c r="C1682" s="37"/>
      <c r="D1682" s="77"/>
      <c r="E1682" s="58"/>
    </row>
    <row r="1683" ht="15.75" customHeight="1">
      <c r="B1683" s="76"/>
      <c r="C1683" s="37"/>
      <c r="D1683" s="77"/>
      <c r="E1683" s="58"/>
    </row>
    <row r="1684" ht="15.75" customHeight="1">
      <c r="B1684" s="76"/>
      <c r="C1684" s="37"/>
      <c r="D1684" s="77"/>
      <c r="E1684" s="58"/>
    </row>
    <row r="1685" ht="15.75" customHeight="1">
      <c r="B1685" s="76"/>
      <c r="C1685" s="37"/>
      <c r="D1685" s="77"/>
      <c r="E1685" s="58"/>
    </row>
    <row r="1686" ht="15.75" customHeight="1">
      <c r="B1686" s="76"/>
      <c r="C1686" s="37"/>
      <c r="D1686" s="77"/>
      <c r="E1686" s="58"/>
    </row>
    <row r="1687" ht="15.75" customHeight="1">
      <c r="B1687" s="76"/>
      <c r="C1687" s="37"/>
      <c r="D1687" s="77"/>
      <c r="E1687" s="58"/>
    </row>
    <row r="1688" ht="15.75" customHeight="1">
      <c r="B1688" s="76"/>
      <c r="C1688" s="37"/>
      <c r="D1688" s="77"/>
      <c r="E1688" s="58"/>
    </row>
    <row r="1689" ht="15.75" customHeight="1">
      <c r="B1689" s="76"/>
      <c r="C1689" s="37"/>
      <c r="D1689" s="77"/>
      <c r="E1689" s="58"/>
    </row>
    <row r="1690" ht="15.75" customHeight="1">
      <c r="B1690" s="76"/>
      <c r="C1690" s="37"/>
      <c r="D1690" s="77"/>
      <c r="E1690" s="58"/>
    </row>
    <row r="1691" ht="15.75" customHeight="1">
      <c r="B1691" s="76"/>
      <c r="C1691" s="37"/>
      <c r="D1691" s="77"/>
      <c r="E1691" s="58"/>
    </row>
    <row r="1692" ht="15.75" customHeight="1">
      <c r="B1692" s="76"/>
      <c r="C1692" s="37"/>
      <c r="D1692" s="77"/>
      <c r="E1692" s="58"/>
    </row>
    <row r="1693" ht="15.75" customHeight="1">
      <c r="B1693" s="76"/>
      <c r="C1693" s="37"/>
      <c r="D1693" s="77"/>
      <c r="E1693" s="58"/>
    </row>
    <row r="1694" ht="15.75" customHeight="1">
      <c r="B1694" s="76"/>
      <c r="C1694" s="37"/>
      <c r="D1694" s="77"/>
      <c r="E1694" s="58"/>
    </row>
    <row r="1695" ht="15.75" customHeight="1">
      <c r="B1695" s="76"/>
      <c r="C1695" s="37"/>
      <c r="D1695" s="77"/>
      <c r="E1695" s="58"/>
    </row>
    <row r="1696" ht="15.75" customHeight="1">
      <c r="B1696" s="76"/>
      <c r="C1696" s="37"/>
      <c r="D1696" s="77"/>
      <c r="E1696" s="58"/>
    </row>
    <row r="1697" ht="15.75" customHeight="1">
      <c r="B1697" s="76"/>
      <c r="C1697" s="37"/>
      <c r="D1697" s="77"/>
      <c r="E1697" s="58"/>
    </row>
    <row r="1698" ht="15.75" customHeight="1">
      <c r="B1698" s="76"/>
      <c r="C1698" s="37"/>
      <c r="D1698" s="77"/>
      <c r="E1698" s="58"/>
    </row>
    <row r="1699" ht="15.75" customHeight="1">
      <c r="B1699" s="76"/>
      <c r="C1699" s="37"/>
      <c r="D1699" s="77"/>
      <c r="E1699" s="58"/>
    </row>
    <row r="1700" ht="15.75" customHeight="1">
      <c r="B1700" s="76"/>
      <c r="C1700" s="37"/>
      <c r="D1700" s="77"/>
      <c r="E1700" s="58"/>
    </row>
    <row r="1701" ht="15.75" customHeight="1">
      <c r="B1701" s="76"/>
      <c r="C1701" s="37"/>
      <c r="D1701" s="77"/>
      <c r="E1701" s="58"/>
    </row>
    <row r="1702" ht="15.75" customHeight="1">
      <c r="B1702" s="76"/>
      <c r="C1702" s="37"/>
      <c r="D1702" s="77"/>
      <c r="E1702" s="58"/>
    </row>
    <row r="1703" ht="15.75" customHeight="1">
      <c r="B1703" s="76"/>
      <c r="C1703" s="37"/>
      <c r="D1703" s="77"/>
      <c r="E1703" s="58"/>
    </row>
    <row r="1704" ht="15.75" customHeight="1">
      <c r="B1704" s="76"/>
      <c r="C1704" s="37"/>
      <c r="D1704" s="77"/>
      <c r="E1704" s="58"/>
    </row>
    <row r="1705" ht="15.75" customHeight="1">
      <c r="B1705" s="76"/>
      <c r="C1705" s="37"/>
      <c r="D1705" s="77"/>
      <c r="E1705" s="58"/>
    </row>
    <row r="1706" ht="15.75" customHeight="1">
      <c r="B1706" s="76"/>
      <c r="C1706" s="37"/>
      <c r="D1706" s="77"/>
      <c r="E1706" s="58"/>
    </row>
    <row r="1707" ht="15.75" customHeight="1">
      <c r="B1707" s="76"/>
      <c r="C1707" s="37"/>
      <c r="D1707" s="77"/>
      <c r="E1707" s="58"/>
    </row>
    <row r="1708" ht="15.75" customHeight="1">
      <c r="B1708" s="76"/>
      <c r="C1708" s="37"/>
      <c r="D1708" s="77"/>
      <c r="E1708" s="58"/>
    </row>
    <row r="1709" ht="15.75" customHeight="1">
      <c r="B1709" s="76"/>
      <c r="C1709" s="37"/>
      <c r="D1709" s="77"/>
      <c r="E1709" s="58"/>
    </row>
    <row r="1710" ht="15.75" customHeight="1">
      <c r="B1710" s="76"/>
      <c r="C1710" s="37"/>
      <c r="D1710" s="77"/>
      <c r="E1710" s="58"/>
    </row>
    <row r="1711" ht="15.75" customHeight="1">
      <c r="B1711" s="76"/>
      <c r="C1711" s="37"/>
      <c r="D1711" s="77"/>
      <c r="E1711" s="58"/>
    </row>
    <row r="1712" ht="15.75" customHeight="1">
      <c r="B1712" s="76"/>
      <c r="C1712" s="37"/>
      <c r="D1712" s="77"/>
      <c r="E1712" s="58"/>
    </row>
    <row r="1713" ht="15.75" customHeight="1">
      <c r="B1713" s="76"/>
      <c r="C1713" s="37"/>
      <c r="D1713" s="77"/>
      <c r="E1713" s="58"/>
    </row>
    <row r="1714" ht="15.75" customHeight="1">
      <c r="B1714" s="76"/>
      <c r="C1714" s="37"/>
      <c r="D1714" s="77"/>
      <c r="E1714" s="58"/>
    </row>
    <row r="1715" ht="15.75" customHeight="1">
      <c r="B1715" s="76"/>
      <c r="C1715" s="37"/>
      <c r="D1715" s="77"/>
      <c r="E1715" s="58"/>
    </row>
    <row r="1716" ht="15.75" customHeight="1">
      <c r="B1716" s="76"/>
      <c r="C1716" s="37"/>
      <c r="D1716" s="77"/>
      <c r="E1716" s="58"/>
    </row>
    <row r="1717" ht="15.75" customHeight="1">
      <c r="B1717" s="76"/>
      <c r="C1717" s="37"/>
      <c r="D1717" s="77"/>
      <c r="E1717" s="58"/>
    </row>
    <row r="1718" ht="15.75" customHeight="1">
      <c r="B1718" s="76"/>
      <c r="C1718" s="37"/>
      <c r="D1718" s="77"/>
      <c r="E1718" s="58"/>
    </row>
    <row r="1719" ht="15.75" customHeight="1">
      <c r="B1719" s="76"/>
      <c r="C1719" s="37"/>
      <c r="D1719" s="77"/>
      <c r="E1719" s="58"/>
    </row>
    <row r="1720" ht="15.75" customHeight="1">
      <c r="B1720" s="76"/>
      <c r="C1720" s="37"/>
      <c r="D1720" s="77"/>
      <c r="E1720" s="58"/>
    </row>
    <row r="1721" ht="15.75" customHeight="1">
      <c r="B1721" s="76"/>
      <c r="C1721" s="37"/>
      <c r="D1721" s="77"/>
      <c r="E1721" s="58"/>
    </row>
    <row r="1722" ht="15.75" customHeight="1">
      <c r="B1722" s="76"/>
      <c r="C1722" s="37"/>
      <c r="D1722" s="77"/>
      <c r="E1722" s="58"/>
    </row>
    <row r="1723" ht="15.75" customHeight="1">
      <c r="B1723" s="76"/>
      <c r="C1723" s="37"/>
      <c r="D1723" s="77"/>
      <c r="E1723" s="58"/>
    </row>
    <row r="1724" ht="15.75" customHeight="1">
      <c r="B1724" s="76"/>
      <c r="C1724" s="37"/>
      <c r="D1724" s="77"/>
      <c r="E1724" s="58"/>
    </row>
    <row r="1725" ht="15.75" customHeight="1">
      <c r="B1725" s="76"/>
      <c r="C1725" s="37"/>
      <c r="D1725" s="77"/>
      <c r="E1725" s="58"/>
    </row>
    <row r="1726" ht="15.75" customHeight="1">
      <c r="B1726" s="76"/>
      <c r="C1726" s="37"/>
      <c r="D1726" s="77"/>
      <c r="E1726" s="58"/>
    </row>
    <row r="1727" ht="15.75" customHeight="1">
      <c r="B1727" s="76"/>
      <c r="C1727" s="37"/>
      <c r="D1727" s="77"/>
      <c r="E1727" s="58"/>
    </row>
    <row r="1728" ht="15.75" customHeight="1">
      <c r="B1728" s="76"/>
      <c r="C1728" s="37"/>
      <c r="D1728" s="77"/>
      <c r="E1728" s="58"/>
    </row>
    <row r="1729" ht="15.75" customHeight="1">
      <c r="B1729" s="76"/>
      <c r="C1729" s="37"/>
      <c r="D1729" s="77"/>
      <c r="E1729" s="58"/>
    </row>
    <row r="1730" ht="15.75" customHeight="1">
      <c r="B1730" s="76"/>
      <c r="C1730" s="37"/>
      <c r="D1730" s="77"/>
      <c r="E1730" s="58"/>
    </row>
    <row r="1731" ht="15.75" customHeight="1">
      <c r="B1731" s="76"/>
      <c r="C1731" s="37"/>
      <c r="D1731" s="77"/>
      <c r="E1731" s="58"/>
    </row>
    <row r="1732" ht="15.75" customHeight="1">
      <c r="B1732" s="76"/>
      <c r="C1732" s="37"/>
      <c r="D1732" s="77"/>
      <c r="E1732" s="58"/>
    </row>
    <row r="1733" ht="15.75" customHeight="1">
      <c r="B1733" s="76"/>
      <c r="C1733" s="37"/>
      <c r="D1733" s="77"/>
      <c r="E1733" s="58"/>
    </row>
    <row r="1734" ht="15.75" customHeight="1">
      <c r="B1734" s="76"/>
      <c r="C1734" s="37"/>
      <c r="D1734" s="77"/>
      <c r="E1734" s="58"/>
    </row>
    <row r="1735" ht="15.75" customHeight="1">
      <c r="B1735" s="76"/>
      <c r="C1735" s="37"/>
      <c r="D1735" s="77"/>
      <c r="E1735" s="58"/>
    </row>
    <row r="1736" ht="15.75" customHeight="1">
      <c r="B1736" s="76"/>
      <c r="C1736" s="37"/>
      <c r="D1736" s="77"/>
      <c r="E1736" s="58"/>
    </row>
    <row r="1737" ht="15.75" customHeight="1">
      <c r="B1737" s="76"/>
      <c r="C1737" s="37"/>
      <c r="D1737" s="77"/>
      <c r="E1737" s="58"/>
    </row>
    <row r="1738" ht="15.75" customHeight="1">
      <c r="B1738" s="76"/>
      <c r="C1738" s="37"/>
      <c r="D1738" s="77"/>
      <c r="E1738" s="58"/>
    </row>
    <row r="1739" ht="15.75" customHeight="1">
      <c r="B1739" s="76"/>
      <c r="C1739" s="37"/>
      <c r="D1739" s="77"/>
      <c r="E1739" s="58"/>
    </row>
    <row r="1740" ht="15.75" customHeight="1">
      <c r="B1740" s="76"/>
      <c r="C1740" s="37"/>
      <c r="D1740" s="77"/>
      <c r="E1740" s="58"/>
    </row>
    <row r="1741" ht="15.75" customHeight="1">
      <c r="B1741" s="76"/>
      <c r="C1741" s="37"/>
      <c r="D1741" s="77"/>
      <c r="E1741" s="58"/>
    </row>
    <row r="1742" ht="15.75" customHeight="1">
      <c r="B1742" s="76"/>
      <c r="C1742" s="37"/>
      <c r="D1742" s="77"/>
      <c r="E1742" s="58"/>
    </row>
    <row r="1743" ht="15.75" customHeight="1">
      <c r="B1743" s="76"/>
      <c r="C1743" s="37"/>
      <c r="D1743" s="77"/>
      <c r="E1743" s="58"/>
    </row>
    <row r="1744" ht="15.75" customHeight="1">
      <c r="B1744" s="76"/>
      <c r="C1744" s="37"/>
      <c r="D1744" s="77"/>
      <c r="E1744" s="58"/>
    </row>
    <row r="1745" ht="15.75" customHeight="1">
      <c r="B1745" s="76"/>
      <c r="C1745" s="37"/>
      <c r="D1745" s="77"/>
      <c r="E1745" s="58"/>
    </row>
    <row r="1746" ht="15.75" customHeight="1">
      <c r="B1746" s="76"/>
      <c r="C1746" s="37"/>
      <c r="D1746" s="77"/>
      <c r="E1746" s="58"/>
    </row>
    <row r="1747" ht="15.75" customHeight="1">
      <c r="B1747" s="76"/>
      <c r="C1747" s="37"/>
      <c r="D1747" s="77"/>
      <c r="E1747" s="58"/>
    </row>
    <row r="1748" ht="15.75" customHeight="1">
      <c r="B1748" s="76"/>
      <c r="C1748" s="37"/>
      <c r="D1748" s="77"/>
      <c r="E1748" s="58"/>
    </row>
    <row r="1749" ht="15.75" customHeight="1">
      <c r="B1749" s="76"/>
      <c r="C1749" s="37"/>
      <c r="D1749" s="77"/>
      <c r="E1749" s="58"/>
    </row>
    <row r="1750" ht="15.75" customHeight="1">
      <c r="B1750" s="76"/>
      <c r="C1750" s="37"/>
      <c r="D1750" s="77"/>
      <c r="E1750" s="58"/>
    </row>
    <row r="1751" ht="15.75" customHeight="1">
      <c r="B1751" s="76"/>
      <c r="C1751" s="37"/>
      <c r="D1751" s="77"/>
      <c r="E1751" s="58"/>
    </row>
    <row r="1752" ht="15.75" customHeight="1">
      <c r="B1752" s="76"/>
      <c r="C1752" s="37"/>
      <c r="D1752" s="77"/>
      <c r="E1752" s="58"/>
    </row>
    <row r="1753" ht="15.75" customHeight="1">
      <c r="B1753" s="76"/>
      <c r="C1753" s="37"/>
      <c r="D1753" s="77"/>
      <c r="E1753" s="58"/>
    </row>
    <row r="1754" ht="15.75" customHeight="1">
      <c r="B1754" s="76"/>
      <c r="C1754" s="37"/>
      <c r="D1754" s="77"/>
      <c r="E1754" s="58"/>
    </row>
    <row r="1755" ht="15.75" customHeight="1">
      <c r="B1755" s="76"/>
      <c r="C1755" s="37"/>
      <c r="D1755" s="77"/>
      <c r="E1755" s="58"/>
    </row>
    <row r="1756" ht="15.75" customHeight="1">
      <c r="B1756" s="76"/>
      <c r="C1756" s="37"/>
      <c r="D1756" s="77"/>
      <c r="E1756" s="58"/>
    </row>
    <row r="1757" ht="15.75" customHeight="1">
      <c r="B1757" s="76"/>
      <c r="C1757" s="37"/>
      <c r="D1757" s="77"/>
      <c r="E1757" s="58"/>
    </row>
    <row r="1758" ht="15.75" customHeight="1">
      <c r="B1758" s="76"/>
      <c r="C1758" s="37"/>
      <c r="D1758" s="77"/>
      <c r="E1758" s="58"/>
    </row>
    <row r="1759" ht="15.75" customHeight="1">
      <c r="B1759" s="76"/>
      <c r="C1759" s="37"/>
      <c r="D1759" s="77"/>
      <c r="E1759" s="58"/>
    </row>
    <row r="1760" ht="15.75" customHeight="1">
      <c r="B1760" s="76"/>
      <c r="C1760" s="37"/>
      <c r="D1760" s="77"/>
      <c r="E1760" s="58"/>
    </row>
    <row r="1761" ht="15.75" customHeight="1">
      <c r="B1761" s="76"/>
      <c r="C1761" s="37"/>
      <c r="D1761" s="77"/>
      <c r="E1761" s="58"/>
    </row>
    <row r="1762" ht="15.75" customHeight="1">
      <c r="B1762" s="76"/>
      <c r="C1762" s="37"/>
      <c r="D1762" s="77"/>
      <c r="E1762" s="58"/>
    </row>
    <row r="1763" ht="15.75" customHeight="1">
      <c r="B1763" s="76"/>
      <c r="C1763" s="37"/>
      <c r="D1763" s="77"/>
      <c r="E1763" s="58"/>
    </row>
    <row r="1764" ht="15.75" customHeight="1">
      <c r="B1764" s="76"/>
      <c r="C1764" s="37"/>
      <c r="D1764" s="77"/>
      <c r="E1764" s="58"/>
    </row>
    <row r="1765" ht="15.75" customHeight="1">
      <c r="B1765" s="76"/>
      <c r="C1765" s="37"/>
      <c r="D1765" s="77"/>
      <c r="E1765" s="58"/>
    </row>
    <row r="1766" ht="15.75" customHeight="1">
      <c r="B1766" s="76"/>
      <c r="C1766" s="37"/>
      <c r="D1766" s="77"/>
      <c r="E1766" s="58"/>
    </row>
    <row r="1767" ht="15.75" customHeight="1">
      <c r="B1767" s="76"/>
      <c r="C1767" s="37"/>
      <c r="D1767" s="77"/>
      <c r="E1767" s="58"/>
    </row>
    <row r="1768" ht="15.75" customHeight="1">
      <c r="B1768" s="76"/>
      <c r="C1768" s="37"/>
      <c r="D1768" s="77"/>
      <c r="E1768" s="58"/>
    </row>
    <row r="1769" ht="15.75" customHeight="1">
      <c r="B1769" s="76"/>
      <c r="C1769" s="37"/>
      <c r="D1769" s="77"/>
      <c r="E1769" s="58"/>
    </row>
    <row r="1770" ht="15.75" customHeight="1">
      <c r="B1770" s="76"/>
      <c r="C1770" s="37"/>
      <c r="D1770" s="77"/>
      <c r="E1770" s="58"/>
    </row>
    <row r="1771" ht="15.75" customHeight="1">
      <c r="B1771" s="76"/>
      <c r="C1771" s="37"/>
      <c r="D1771" s="77"/>
      <c r="E1771" s="58"/>
    </row>
    <row r="1772" ht="15.75" customHeight="1">
      <c r="B1772" s="76"/>
      <c r="C1772" s="37"/>
      <c r="D1772" s="77"/>
      <c r="E1772" s="58"/>
    </row>
    <row r="1773" ht="15.75" customHeight="1">
      <c r="B1773" s="76"/>
      <c r="C1773" s="37"/>
      <c r="D1773" s="77"/>
      <c r="E1773" s="58"/>
    </row>
    <row r="1774" ht="15.75" customHeight="1">
      <c r="B1774" s="76"/>
      <c r="C1774" s="37"/>
      <c r="D1774" s="77"/>
      <c r="E1774" s="58"/>
    </row>
    <row r="1775" ht="15.75" customHeight="1">
      <c r="B1775" s="76"/>
      <c r="C1775" s="37"/>
      <c r="D1775" s="77"/>
      <c r="E1775" s="58"/>
    </row>
    <row r="1776" ht="15.75" customHeight="1">
      <c r="B1776" s="76"/>
      <c r="C1776" s="37"/>
      <c r="D1776" s="77"/>
      <c r="E1776" s="58"/>
    </row>
    <row r="1777" ht="15.75" customHeight="1">
      <c r="B1777" s="76"/>
      <c r="C1777" s="37"/>
      <c r="D1777" s="77"/>
      <c r="E1777" s="58"/>
    </row>
    <row r="1778" ht="15.75" customHeight="1">
      <c r="B1778" s="76"/>
      <c r="C1778" s="37"/>
      <c r="D1778" s="77"/>
      <c r="E1778" s="58"/>
    </row>
    <row r="1779" ht="15.75" customHeight="1">
      <c r="B1779" s="76"/>
      <c r="C1779" s="37"/>
      <c r="D1779" s="77"/>
      <c r="E1779" s="58"/>
    </row>
    <row r="1780" ht="15.75" customHeight="1">
      <c r="B1780" s="76"/>
      <c r="C1780" s="37"/>
      <c r="D1780" s="77"/>
      <c r="E1780" s="58"/>
    </row>
    <row r="1781" ht="15.75" customHeight="1">
      <c r="B1781" s="76"/>
      <c r="C1781" s="37"/>
      <c r="D1781" s="77"/>
      <c r="E1781" s="58"/>
    </row>
    <row r="1782" ht="15.75" customHeight="1">
      <c r="B1782" s="76"/>
      <c r="C1782" s="37"/>
      <c r="D1782" s="77"/>
      <c r="E1782" s="58"/>
    </row>
    <row r="1783" ht="15.75" customHeight="1">
      <c r="B1783" s="76"/>
      <c r="C1783" s="37"/>
      <c r="D1783" s="77"/>
      <c r="E1783" s="58"/>
    </row>
    <row r="1784" ht="15.75" customHeight="1">
      <c r="B1784" s="76"/>
      <c r="C1784" s="37"/>
      <c r="D1784" s="77"/>
      <c r="E1784" s="58"/>
    </row>
    <row r="1785" ht="15.75" customHeight="1">
      <c r="B1785" s="76"/>
      <c r="C1785" s="37"/>
      <c r="D1785" s="77"/>
      <c r="E1785" s="58"/>
    </row>
    <row r="1786" ht="15.75" customHeight="1">
      <c r="B1786" s="76"/>
      <c r="C1786" s="37"/>
      <c r="D1786" s="77"/>
      <c r="E1786" s="58"/>
    </row>
    <row r="1787" ht="15.75" customHeight="1">
      <c r="B1787" s="76"/>
      <c r="C1787" s="37"/>
      <c r="D1787" s="77"/>
      <c r="E1787" s="58"/>
    </row>
    <row r="1788" ht="15.75" customHeight="1">
      <c r="B1788" s="76"/>
      <c r="C1788" s="37"/>
      <c r="D1788" s="77"/>
      <c r="E1788" s="58"/>
    </row>
    <row r="1789" ht="15.75" customHeight="1">
      <c r="B1789" s="76"/>
      <c r="C1789" s="37"/>
      <c r="D1789" s="77"/>
      <c r="E1789" s="58"/>
    </row>
    <row r="1790" ht="15.75" customHeight="1">
      <c r="B1790" s="76"/>
      <c r="C1790" s="37"/>
      <c r="D1790" s="77"/>
      <c r="E1790" s="58"/>
    </row>
    <row r="1791" ht="15.75" customHeight="1">
      <c r="B1791" s="76"/>
      <c r="C1791" s="37"/>
      <c r="D1791" s="77"/>
      <c r="E1791" s="58"/>
    </row>
    <row r="1792" ht="15.75" customHeight="1">
      <c r="B1792" s="76"/>
      <c r="C1792" s="37"/>
      <c r="D1792" s="77"/>
      <c r="E1792" s="58"/>
    </row>
    <row r="1793" ht="15.75" customHeight="1">
      <c r="B1793" s="76"/>
      <c r="C1793" s="37"/>
      <c r="D1793" s="77"/>
      <c r="E1793" s="58"/>
    </row>
    <row r="1794" ht="15.75" customHeight="1">
      <c r="B1794" s="76"/>
      <c r="C1794" s="37"/>
      <c r="D1794" s="77"/>
      <c r="E1794" s="58"/>
    </row>
    <row r="1795" ht="15.75" customHeight="1">
      <c r="B1795" s="76"/>
      <c r="C1795" s="37"/>
      <c r="D1795" s="77"/>
      <c r="E1795" s="58"/>
    </row>
    <row r="1796" ht="15.75" customHeight="1">
      <c r="B1796" s="76"/>
      <c r="C1796" s="37"/>
      <c r="D1796" s="77"/>
      <c r="E1796" s="58"/>
    </row>
    <row r="1797" ht="15.75" customHeight="1">
      <c r="B1797" s="76"/>
      <c r="C1797" s="37"/>
      <c r="D1797" s="77"/>
      <c r="E1797" s="58"/>
    </row>
    <row r="1798" ht="15.75" customHeight="1">
      <c r="B1798" s="76"/>
      <c r="C1798" s="37"/>
      <c r="D1798" s="77"/>
      <c r="E1798" s="58"/>
    </row>
    <row r="1799" ht="15.75" customHeight="1">
      <c r="B1799" s="76"/>
      <c r="C1799" s="37"/>
      <c r="D1799" s="77"/>
      <c r="E1799" s="58"/>
    </row>
    <row r="1800" ht="15.75" customHeight="1">
      <c r="B1800" s="76"/>
      <c r="C1800" s="37"/>
      <c r="D1800" s="77"/>
      <c r="E1800" s="58"/>
    </row>
    <row r="1801" ht="15.75" customHeight="1">
      <c r="B1801" s="76"/>
      <c r="C1801" s="37"/>
      <c r="D1801" s="77"/>
      <c r="E1801" s="58"/>
    </row>
    <row r="1802" ht="15.75" customHeight="1">
      <c r="B1802" s="76"/>
      <c r="C1802" s="37"/>
      <c r="D1802" s="77"/>
      <c r="E1802" s="58"/>
    </row>
    <row r="1803" ht="15.75" customHeight="1">
      <c r="B1803" s="76"/>
      <c r="C1803" s="37"/>
      <c r="D1803" s="77"/>
      <c r="E1803" s="58"/>
    </row>
    <row r="1804" ht="15.75" customHeight="1">
      <c r="B1804" s="76"/>
      <c r="C1804" s="37"/>
      <c r="D1804" s="77"/>
      <c r="E1804" s="58"/>
    </row>
    <row r="1805" ht="15.75" customHeight="1">
      <c r="B1805" s="76"/>
      <c r="C1805" s="37"/>
      <c r="D1805" s="77"/>
      <c r="E1805" s="58"/>
    </row>
    <row r="1806" ht="15.75" customHeight="1">
      <c r="B1806" s="76"/>
      <c r="C1806" s="37"/>
      <c r="D1806" s="77"/>
      <c r="E1806" s="58"/>
    </row>
    <row r="1807" ht="15.75" customHeight="1">
      <c r="B1807" s="76"/>
      <c r="C1807" s="37"/>
      <c r="D1807" s="77"/>
      <c r="E1807" s="58"/>
    </row>
    <row r="1808" ht="15.75" customHeight="1">
      <c r="B1808" s="76"/>
      <c r="C1808" s="37"/>
      <c r="D1808" s="77"/>
      <c r="E1808" s="58"/>
    </row>
    <row r="1809" ht="15.75" customHeight="1">
      <c r="B1809" s="76"/>
      <c r="C1809" s="37"/>
      <c r="D1809" s="77"/>
      <c r="E1809" s="58"/>
    </row>
    <row r="1810" ht="15.75" customHeight="1">
      <c r="B1810" s="76"/>
      <c r="C1810" s="37"/>
      <c r="D1810" s="77"/>
      <c r="E1810" s="58"/>
    </row>
    <row r="1811" ht="15.75" customHeight="1">
      <c r="B1811" s="76"/>
      <c r="C1811" s="37"/>
      <c r="D1811" s="77"/>
      <c r="E1811" s="58"/>
    </row>
    <row r="1812" ht="15.75" customHeight="1">
      <c r="B1812" s="76"/>
      <c r="C1812" s="37"/>
      <c r="D1812" s="77"/>
      <c r="E1812" s="58"/>
    </row>
    <row r="1813" ht="15.75" customHeight="1">
      <c r="B1813" s="76"/>
      <c r="C1813" s="37"/>
      <c r="D1813" s="77"/>
      <c r="E1813" s="58"/>
    </row>
    <row r="1814" ht="15.75" customHeight="1">
      <c r="B1814" s="76"/>
      <c r="C1814" s="37"/>
      <c r="D1814" s="77"/>
      <c r="E1814" s="58"/>
    </row>
    <row r="1815" ht="15.75" customHeight="1">
      <c r="B1815" s="76"/>
      <c r="C1815" s="37"/>
      <c r="D1815" s="77"/>
      <c r="E1815" s="58"/>
    </row>
    <row r="1816" ht="15.75" customHeight="1">
      <c r="B1816" s="76"/>
      <c r="C1816" s="37"/>
      <c r="D1816" s="77"/>
      <c r="E1816" s="58"/>
    </row>
    <row r="1817" ht="15.75" customHeight="1">
      <c r="B1817" s="76"/>
      <c r="C1817" s="37"/>
      <c r="D1817" s="77"/>
      <c r="E1817" s="58"/>
    </row>
    <row r="1818" ht="15.75" customHeight="1">
      <c r="B1818" s="76"/>
      <c r="C1818" s="37"/>
      <c r="D1818" s="77"/>
      <c r="E1818" s="58"/>
    </row>
    <row r="1819" ht="15.75" customHeight="1">
      <c r="B1819" s="76"/>
      <c r="C1819" s="37"/>
      <c r="D1819" s="77"/>
      <c r="E1819" s="58"/>
    </row>
    <row r="1820" ht="15.75" customHeight="1">
      <c r="B1820" s="76"/>
      <c r="C1820" s="37"/>
      <c r="D1820" s="77"/>
      <c r="E1820" s="58"/>
    </row>
    <row r="1821" ht="15.75" customHeight="1">
      <c r="B1821" s="76"/>
      <c r="C1821" s="37"/>
      <c r="D1821" s="77"/>
      <c r="E1821" s="58"/>
    </row>
    <row r="1822" ht="15.75" customHeight="1">
      <c r="B1822" s="76"/>
      <c r="C1822" s="37"/>
      <c r="D1822" s="77"/>
      <c r="E1822" s="58"/>
    </row>
    <row r="1823" ht="15.75" customHeight="1">
      <c r="B1823" s="76"/>
      <c r="C1823" s="37"/>
      <c r="D1823" s="77"/>
      <c r="E1823" s="58"/>
    </row>
    <row r="1824" ht="15.75" customHeight="1">
      <c r="B1824" s="76"/>
      <c r="C1824" s="37"/>
      <c r="D1824" s="77"/>
      <c r="E1824" s="58"/>
    </row>
    <row r="1825" ht="15.75" customHeight="1">
      <c r="B1825" s="76"/>
      <c r="C1825" s="37"/>
      <c r="D1825" s="77"/>
      <c r="E1825" s="58"/>
    </row>
    <row r="1826" ht="15.75" customHeight="1">
      <c r="B1826" s="76"/>
      <c r="C1826" s="37"/>
      <c r="D1826" s="77"/>
      <c r="E1826" s="58"/>
    </row>
    <row r="1827" ht="15.75" customHeight="1">
      <c r="B1827" s="76"/>
      <c r="C1827" s="37"/>
      <c r="D1827" s="77"/>
      <c r="E1827" s="58"/>
    </row>
    <row r="1828" ht="15.75" customHeight="1">
      <c r="B1828" s="76"/>
      <c r="C1828" s="37"/>
      <c r="D1828" s="77"/>
      <c r="E1828" s="58"/>
    </row>
    <row r="1829" ht="15.75" customHeight="1">
      <c r="B1829" s="76"/>
      <c r="C1829" s="37"/>
      <c r="D1829" s="77"/>
      <c r="E1829" s="58"/>
    </row>
    <row r="1830" ht="15.75" customHeight="1">
      <c r="B1830" s="76"/>
      <c r="C1830" s="37"/>
      <c r="D1830" s="77"/>
      <c r="E1830" s="58"/>
    </row>
    <row r="1831" ht="15.75" customHeight="1">
      <c r="B1831" s="76"/>
      <c r="C1831" s="37"/>
      <c r="D1831" s="77"/>
      <c r="E1831" s="58"/>
    </row>
    <row r="1832" ht="15.75" customHeight="1">
      <c r="B1832" s="76"/>
      <c r="C1832" s="37"/>
      <c r="D1832" s="77"/>
      <c r="E1832" s="58"/>
    </row>
    <row r="1833" ht="15.75" customHeight="1">
      <c r="B1833" s="76"/>
      <c r="C1833" s="37"/>
      <c r="D1833" s="77"/>
      <c r="E1833" s="58"/>
    </row>
    <row r="1834" ht="15.75" customHeight="1">
      <c r="B1834" s="76"/>
      <c r="C1834" s="37"/>
      <c r="D1834" s="77"/>
      <c r="E1834" s="58"/>
    </row>
    <row r="1835" ht="15.75" customHeight="1">
      <c r="B1835" s="76"/>
      <c r="C1835" s="37"/>
      <c r="D1835" s="77"/>
      <c r="E1835" s="58"/>
    </row>
    <row r="1836" ht="15.75" customHeight="1">
      <c r="B1836" s="76"/>
      <c r="C1836" s="37"/>
      <c r="D1836" s="77"/>
      <c r="E1836" s="58"/>
    </row>
    <row r="1837" ht="15.75" customHeight="1">
      <c r="B1837" s="76"/>
      <c r="C1837" s="37"/>
      <c r="D1837" s="77"/>
      <c r="E1837" s="58"/>
    </row>
    <row r="1838" ht="15.75" customHeight="1">
      <c r="B1838" s="76"/>
      <c r="C1838" s="37"/>
      <c r="D1838" s="77"/>
      <c r="E1838" s="58"/>
    </row>
    <row r="1839" ht="15.75" customHeight="1">
      <c r="B1839" s="76"/>
      <c r="C1839" s="37"/>
      <c r="D1839" s="77"/>
      <c r="E1839" s="58"/>
    </row>
    <row r="1840" ht="15.75" customHeight="1">
      <c r="B1840" s="76"/>
      <c r="C1840" s="37"/>
      <c r="D1840" s="77"/>
      <c r="E1840" s="58"/>
    </row>
    <row r="1841" ht="15.75" customHeight="1">
      <c r="B1841" s="76"/>
      <c r="C1841" s="37"/>
      <c r="D1841" s="77"/>
      <c r="E1841" s="58"/>
    </row>
    <row r="1842" ht="15.75" customHeight="1">
      <c r="B1842" s="76"/>
      <c r="C1842" s="37"/>
      <c r="D1842" s="77"/>
      <c r="E1842" s="58"/>
    </row>
    <row r="1843" ht="15.75" customHeight="1">
      <c r="B1843" s="76"/>
      <c r="C1843" s="37"/>
      <c r="D1843" s="77"/>
      <c r="E1843" s="58"/>
    </row>
    <row r="1844" ht="15.75" customHeight="1">
      <c r="B1844" s="76"/>
      <c r="C1844" s="37"/>
      <c r="D1844" s="77"/>
      <c r="E1844" s="58"/>
    </row>
    <row r="1845" ht="15.75" customHeight="1">
      <c r="B1845" s="76"/>
      <c r="C1845" s="37"/>
      <c r="D1845" s="77"/>
      <c r="E1845" s="58"/>
    </row>
    <row r="1846" ht="15.75" customHeight="1">
      <c r="B1846" s="76"/>
      <c r="C1846" s="37"/>
      <c r="D1846" s="77"/>
      <c r="E1846" s="58"/>
    </row>
    <row r="1847" ht="15.75" customHeight="1">
      <c r="B1847" s="76"/>
      <c r="C1847" s="37"/>
      <c r="D1847" s="77"/>
      <c r="E1847" s="58"/>
    </row>
    <row r="1848" ht="15.75" customHeight="1">
      <c r="B1848" s="76"/>
      <c r="C1848" s="37"/>
      <c r="D1848" s="77"/>
      <c r="E1848" s="58"/>
    </row>
    <row r="1849" ht="15.75" customHeight="1">
      <c r="B1849" s="76"/>
      <c r="C1849" s="37"/>
      <c r="D1849" s="77"/>
      <c r="E1849" s="58"/>
    </row>
    <row r="1850" ht="15.75" customHeight="1">
      <c r="B1850" s="76"/>
      <c r="C1850" s="37"/>
      <c r="D1850" s="77"/>
      <c r="E1850" s="58"/>
    </row>
    <row r="1851" ht="15.75" customHeight="1">
      <c r="B1851" s="76"/>
      <c r="C1851" s="37"/>
      <c r="D1851" s="77"/>
      <c r="E1851" s="58"/>
    </row>
    <row r="1852" ht="15.75" customHeight="1">
      <c r="B1852" s="76"/>
      <c r="C1852" s="37"/>
      <c r="D1852" s="77"/>
      <c r="E1852" s="58"/>
    </row>
    <row r="1853" ht="15.75" customHeight="1">
      <c r="B1853" s="76"/>
      <c r="C1853" s="37"/>
      <c r="D1853" s="77"/>
      <c r="E1853" s="58"/>
    </row>
    <row r="1854" ht="15.75" customHeight="1">
      <c r="B1854" s="76"/>
      <c r="C1854" s="37"/>
      <c r="D1854" s="77"/>
      <c r="E1854" s="58"/>
    </row>
    <row r="1855" ht="15.75" customHeight="1">
      <c r="B1855" s="76"/>
      <c r="C1855" s="37"/>
      <c r="D1855" s="77"/>
      <c r="E1855" s="58"/>
    </row>
    <row r="1856" ht="15.75" customHeight="1">
      <c r="B1856" s="76"/>
      <c r="C1856" s="37"/>
      <c r="D1856" s="77"/>
      <c r="E1856" s="58"/>
    </row>
    <row r="1857" ht="15.75" customHeight="1">
      <c r="B1857" s="76"/>
      <c r="C1857" s="37"/>
      <c r="D1857" s="77"/>
      <c r="E1857" s="58"/>
    </row>
    <row r="1858" ht="15.75" customHeight="1">
      <c r="B1858" s="76"/>
      <c r="C1858" s="37"/>
      <c r="D1858" s="77"/>
      <c r="E1858" s="58"/>
    </row>
    <row r="1859" ht="15.75" customHeight="1">
      <c r="B1859" s="76"/>
      <c r="C1859" s="37"/>
      <c r="D1859" s="77"/>
      <c r="E1859" s="58"/>
    </row>
    <row r="1860" ht="15.75" customHeight="1">
      <c r="B1860" s="76"/>
      <c r="C1860" s="37"/>
      <c r="D1860" s="77"/>
      <c r="E1860" s="58"/>
    </row>
    <row r="1861" ht="15.75" customHeight="1">
      <c r="B1861" s="76"/>
      <c r="C1861" s="37"/>
      <c r="D1861" s="77"/>
      <c r="E1861" s="58"/>
    </row>
    <row r="1862" ht="15.75" customHeight="1">
      <c r="B1862" s="76"/>
      <c r="C1862" s="37"/>
      <c r="D1862" s="77"/>
      <c r="E1862" s="58"/>
    </row>
    <row r="1863" ht="15.75" customHeight="1">
      <c r="B1863" s="76"/>
      <c r="C1863" s="37"/>
      <c r="D1863" s="77"/>
      <c r="E1863" s="58"/>
    </row>
    <row r="1864" ht="15.75" customHeight="1">
      <c r="B1864" s="76"/>
      <c r="C1864" s="37"/>
      <c r="D1864" s="77"/>
      <c r="E1864" s="58"/>
    </row>
    <row r="1865" ht="15.75" customHeight="1">
      <c r="B1865" s="76"/>
      <c r="C1865" s="37"/>
      <c r="D1865" s="77"/>
      <c r="E1865" s="58"/>
    </row>
    <row r="1866" ht="15.75" customHeight="1">
      <c r="B1866" s="76"/>
      <c r="C1866" s="37"/>
      <c r="D1866" s="77"/>
      <c r="E1866" s="58"/>
    </row>
    <row r="1867" ht="15.75" customHeight="1">
      <c r="B1867" s="76"/>
      <c r="C1867" s="37"/>
      <c r="D1867" s="77"/>
      <c r="E1867" s="58"/>
    </row>
    <row r="1868" ht="15.75" customHeight="1">
      <c r="B1868" s="76"/>
      <c r="C1868" s="37"/>
      <c r="D1868" s="77"/>
      <c r="E1868" s="58"/>
    </row>
    <row r="1869" ht="15.75" customHeight="1">
      <c r="B1869" s="76"/>
      <c r="C1869" s="37"/>
      <c r="D1869" s="77"/>
      <c r="E1869" s="58"/>
    </row>
    <row r="1870" ht="15.75" customHeight="1">
      <c r="B1870" s="76"/>
      <c r="C1870" s="37"/>
      <c r="D1870" s="77"/>
      <c r="E1870" s="58"/>
    </row>
    <row r="1871" ht="15.75" customHeight="1">
      <c r="B1871" s="76"/>
      <c r="C1871" s="37"/>
      <c r="D1871" s="77"/>
      <c r="E1871" s="58"/>
    </row>
    <row r="1872" ht="15.75" customHeight="1">
      <c r="B1872" s="76"/>
      <c r="C1872" s="37"/>
      <c r="D1872" s="77"/>
      <c r="E1872" s="58"/>
    </row>
    <row r="1873" ht="15.75" customHeight="1">
      <c r="B1873" s="76"/>
      <c r="C1873" s="37"/>
      <c r="D1873" s="77"/>
      <c r="E1873" s="58"/>
    </row>
    <row r="1874" ht="15.75" customHeight="1">
      <c r="B1874" s="76"/>
      <c r="C1874" s="37"/>
      <c r="D1874" s="77"/>
      <c r="E1874" s="58"/>
    </row>
    <row r="1875" ht="15.75" customHeight="1">
      <c r="B1875" s="76"/>
      <c r="C1875" s="37"/>
      <c r="D1875" s="77"/>
      <c r="E1875" s="58"/>
    </row>
    <row r="1876" ht="15.75" customHeight="1">
      <c r="B1876" s="76"/>
      <c r="C1876" s="37"/>
      <c r="D1876" s="77"/>
      <c r="E1876" s="58"/>
    </row>
    <row r="1877" ht="15.75" customHeight="1">
      <c r="B1877" s="76"/>
      <c r="C1877" s="37"/>
      <c r="D1877" s="77"/>
      <c r="E1877" s="58"/>
    </row>
    <row r="1878" ht="15.75" customHeight="1">
      <c r="B1878" s="76"/>
      <c r="C1878" s="37"/>
      <c r="D1878" s="77"/>
      <c r="E1878" s="58"/>
    </row>
    <row r="1879" ht="15.75" customHeight="1">
      <c r="B1879" s="76"/>
      <c r="C1879" s="37"/>
      <c r="D1879" s="77"/>
      <c r="E1879" s="58"/>
    </row>
    <row r="1880" ht="15.75" customHeight="1">
      <c r="B1880" s="76"/>
      <c r="C1880" s="37"/>
      <c r="D1880" s="77"/>
      <c r="E1880" s="58"/>
    </row>
    <row r="1881" ht="15.75" customHeight="1">
      <c r="B1881" s="76"/>
      <c r="C1881" s="37"/>
      <c r="D1881" s="77"/>
      <c r="E1881" s="58"/>
    </row>
    <row r="1882" ht="15.75" customHeight="1">
      <c r="B1882" s="76"/>
      <c r="C1882" s="37"/>
      <c r="D1882" s="77"/>
      <c r="E1882" s="58"/>
    </row>
    <row r="1883" ht="15.75" customHeight="1">
      <c r="B1883" s="76"/>
      <c r="C1883" s="37"/>
      <c r="D1883" s="77"/>
      <c r="E1883" s="58"/>
    </row>
    <row r="1884" ht="15.75" customHeight="1">
      <c r="B1884" s="76"/>
      <c r="C1884" s="37"/>
      <c r="D1884" s="77"/>
      <c r="E1884" s="58"/>
    </row>
    <row r="1885" ht="15.75" customHeight="1">
      <c r="B1885" s="76"/>
      <c r="C1885" s="37"/>
      <c r="D1885" s="77"/>
      <c r="E1885" s="58"/>
    </row>
    <row r="1886" ht="15.75" customHeight="1">
      <c r="B1886" s="76"/>
      <c r="C1886" s="37"/>
      <c r="D1886" s="77"/>
      <c r="E1886" s="58"/>
    </row>
    <row r="1887" ht="15.75" customHeight="1">
      <c r="B1887" s="76"/>
      <c r="C1887" s="37"/>
      <c r="D1887" s="77"/>
      <c r="E1887" s="58"/>
    </row>
    <row r="1888" ht="15.75" customHeight="1">
      <c r="B1888" s="76"/>
      <c r="C1888" s="37"/>
      <c r="D1888" s="77"/>
      <c r="E1888" s="58"/>
    </row>
    <row r="1889" ht="15.75" customHeight="1">
      <c r="B1889" s="76"/>
      <c r="C1889" s="37"/>
      <c r="D1889" s="77"/>
      <c r="E1889" s="58"/>
    </row>
    <row r="1890" ht="15.75" customHeight="1">
      <c r="B1890" s="76"/>
      <c r="C1890" s="37"/>
      <c r="D1890" s="77"/>
      <c r="E1890" s="58"/>
    </row>
    <row r="1891" ht="15.75" customHeight="1">
      <c r="B1891" s="76"/>
      <c r="C1891" s="37"/>
      <c r="D1891" s="77"/>
      <c r="E1891" s="58"/>
    </row>
    <row r="1892" ht="15.75" customHeight="1">
      <c r="B1892" s="76"/>
      <c r="C1892" s="37"/>
      <c r="D1892" s="77"/>
      <c r="E1892" s="58"/>
    </row>
    <row r="1893" ht="15.75" customHeight="1">
      <c r="B1893" s="76"/>
      <c r="C1893" s="37"/>
      <c r="D1893" s="77"/>
      <c r="E1893" s="58"/>
    </row>
    <row r="1894" ht="15.75" customHeight="1">
      <c r="B1894" s="76"/>
      <c r="C1894" s="37"/>
      <c r="D1894" s="77"/>
      <c r="E1894" s="58"/>
    </row>
    <row r="1895" ht="15.75" customHeight="1">
      <c r="B1895" s="76"/>
      <c r="C1895" s="37"/>
      <c r="D1895" s="77"/>
      <c r="E1895" s="58"/>
    </row>
    <row r="1896" ht="15.75" customHeight="1">
      <c r="B1896" s="76"/>
      <c r="C1896" s="37"/>
      <c r="D1896" s="77"/>
      <c r="E1896" s="58"/>
    </row>
    <row r="1897" ht="15.75" customHeight="1">
      <c r="B1897" s="76"/>
      <c r="C1897" s="37"/>
      <c r="D1897" s="77"/>
      <c r="E1897" s="58"/>
    </row>
    <row r="1898" ht="15.75" customHeight="1">
      <c r="B1898" s="76"/>
      <c r="C1898" s="37"/>
      <c r="D1898" s="77"/>
      <c r="E1898" s="58"/>
    </row>
    <row r="1899" ht="15.75" customHeight="1">
      <c r="B1899" s="76"/>
      <c r="C1899" s="37"/>
      <c r="D1899" s="77"/>
      <c r="E1899" s="58"/>
    </row>
    <row r="1900" ht="15.75" customHeight="1">
      <c r="B1900" s="76"/>
      <c r="C1900" s="37"/>
      <c r="D1900" s="77"/>
      <c r="E1900" s="58"/>
    </row>
    <row r="1901" ht="15.75" customHeight="1">
      <c r="B1901" s="76"/>
      <c r="C1901" s="37"/>
      <c r="D1901" s="77"/>
      <c r="E1901" s="58"/>
    </row>
    <row r="1902" ht="15.75" customHeight="1">
      <c r="B1902" s="76"/>
      <c r="C1902" s="37"/>
      <c r="D1902" s="77"/>
      <c r="E1902" s="58"/>
    </row>
    <row r="1903" ht="15.75" customHeight="1">
      <c r="B1903" s="76"/>
      <c r="C1903" s="37"/>
      <c r="D1903" s="77"/>
      <c r="E1903" s="58"/>
    </row>
    <row r="1904" ht="15.75" customHeight="1">
      <c r="B1904" s="76"/>
      <c r="C1904" s="37"/>
      <c r="D1904" s="77"/>
      <c r="E1904" s="58"/>
    </row>
    <row r="1905" ht="15.75" customHeight="1">
      <c r="B1905" s="76"/>
      <c r="C1905" s="37"/>
      <c r="D1905" s="77"/>
      <c r="E1905" s="58"/>
    </row>
    <row r="1906" ht="15.75" customHeight="1">
      <c r="B1906" s="76"/>
      <c r="C1906" s="37"/>
      <c r="D1906" s="77"/>
      <c r="E1906" s="58"/>
    </row>
    <row r="1907" ht="15.75" customHeight="1">
      <c r="B1907" s="76"/>
      <c r="C1907" s="37"/>
      <c r="D1907" s="77"/>
      <c r="E1907" s="58"/>
    </row>
    <row r="1908" ht="15.75" customHeight="1">
      <c r="B1908" s="76"/>
      <c r="C1908" s="37"/>
      <c r="D1908" s="77"/>
      <c r="E1908" s="58"/>
    </row>
    <row r="1909" ht="15.75" customHeight="1">
      <c r="B1909" s="76"/>
      <c r="C1909" s="37"/>
      <c r="D1909" s="77"/>
      <c r="E1909" s="58"/>
    </row>
    <row r="1910" ht="15.75" customHeight="1">
      <c r="B1910" s="76"/>
      <c r="C1910" s="37"/>
      <c r="D1910" s="77"/>
      <c r="E1910" s="58"/>
    </row>
    <row r="1911" ht="15.75" customHeight="1">
      <c r="B1911" s="76"/>
      <c r="C1911" s="37"/>
      <c r="D1911" s="77"/>
      <c r="E1911" s="58"/>
    </row>
    <row r="1912" ht="15.75" customHeight="1">
      <c r="B1912" s="76"/>
      <c r="C1912" s="37"/>
      <c r="D1912" s="77"/>
      <c r="E1912" s="58"/>
    </row>
    <row r="1913" ht="15.75" customHeight="1">
      <c r="B1913" s="76"/>
      <c r="C1913" s="37"/>
      <c r="D1913" s="77"/>
      <c r="E1913" s="58"/>
    </row>
    <row r="1914" ht="15.75" customHeight="1">
      <c r="B1914" s="76"/>
      <c r="C1914" s="37"/>
      <c r="D1914" s="77"/>
      <c r="E1914" s="58"/>
    </row>
    <row r="1915" ht="15.75" customHeight="1">
      <c r="B1915" s="76"/>
      <c r="C1915" s="37"/>
      <c r="D1915" s="77"/>
      <c r="E1915" s="58"/>
    </row>
    <row r="1916" ht="15.75" customHeight="1">
      <c r="B1916" s="76"/>
      <c r="C1916" s="37"/>
      <c r="D1916" s="77"/>
      <c r="E1916" s="58"/>
    </row>
    <row r="1917" ht="15.75" customHeight="1">
      <c r="B1917" s="76"/>
      <c r="C1917" s="37"/>
      <c r="D1917" s="77"/>
      <c r="E1917" s="58"/>
    </row>
    <row r="1918" ht="15.75" customHeight="1">
      <c r="B1918" s="76"/>
      <c r="C1918" s="37"/>
      <c r="D1918" s="77"/>
      <c r="E1918" s="58"/>
    </row>
    <row r="1919" ht="15.75" customHeight="1">
      <c r="B1919" s="76"/>
      <c r="C1919" s="37"/>
      <c r="D1919" s="77"/>
      <c r="E1919" s="58"/>
    </row>
    <row r="1920" ht="15.75" customHeight="1">
      <c r="B1920" s="76"/>
      <c r="C1920" s="37"/>
      <c r="D1920" s="77"/>
      <c r="E1920" s="58"/>
    </row>
    <row r="1921" ht="15.75" customHeight="1">
      <c r="B1921" s="76"/>
      <c r="C1921" s="37"/>
      <c r="D1921" s="77"/>
      <c r="E1921" s="58"/>
    </row>
    <row r="1922" ht="15.75" customHeight="1">
      <c r="B1922" s="76"/>
      <c r="C1922" s="37"/>
      <c r="D1922" s="77"/>
      <c r="E1922" s="58"/>
    </row>
    <row r="1923" ht="15.75" customHeight="1">
      <c r="B1923" s="76"/>
      <c r="C1923" s="37"/>
      <c r="D1923" s="77"/>
      <c r="E1923" s="58"/>
    </row>
    <row r="1924" ht="15.75" customHeight="1">
      <c r="B1924" s="76"/>
      <c r="C1924" s="37"/>
      <c r="D1924" s="77"/>
      <c r="E1924" s="58"/>
    </row>
    <row r="1925" ht="15.75" customHeight="1">
      <c r="B1925" s="76"/>
      <c r="C1925" s="37"/>
      <c r="D1925" s="77"/>
      <c r="E1925" s="58"/>
    </row>
    <row r="1926" ht="15.75" customHeight="1">
      <c r="B1926" s="76"/>
      <c r="C1926" s="37"/>
      <c r="D1926" s="77"/>
      <c r="E1926" s="58"/>
    </row>
    <row r="1927" ht="15.75" customHeight="1">
      <c r="B1927" s="76"/>
      <c r="C1927" s="37"/>
      <c r="D1927" s="77"/>
      <c r="E1927" s="58"/>
    </row>
    <row r="1928" ht="15.75" customHeight="1">
      <c r="B1928" s="76"/>
      <c r="C1928" s="37"/>
      <c r="D1928" s="77"/>
      <c r="E1928" s="58"/>
    </row>
    <row r="1929" ht="15.75" customHeight="1">
      <c r="B1929" s="76"/>
      <c r="C1929" s="37"/>
      <c r="D1929" s="77"/>
      <c r="E1929" s="58"/>
    </row>
    <row r="1930" ht="15.75" customHeight="1">
      <c r="B1930" s="76"/>
      <c r="C1930" s="37"/>
      <c r="D1930" s="77"/>
      <c r="E1930" s="58"/>
    </row>
    <row r="1931" ht="15.75" customHeight="1">
      <c r="B1931" s="76"/>
      <c r="C1931" s="37"/>
      <c r="D1931" s="77"/>
      <c r="E1931" s="58"/>
    </row>
    <row r="1932" ht="15.75" customHeight="1">
      <c r="B1932" s="76"/>
      <c r="C1932" s="37"/>
      <c r="D1932" s="77"/>
      <c r="E1932" s="58"/>
    </row>
    <row r="1933" ht="15.75" customHeight="1">
      <c r="B1933" s="76"/>
      <c r="C1933" s="37"/>
      <c r="D1933" s="77"/>
      <c r="E1933" s="58"/>
    </row>
    <row r="1934" ht="15.75" customHeight="1">
      <c r="B1934" s="76"/>
      <c r="C1934" s="37"/>
      <c r="D1934" s="77"/>
      <c r="E1934" s="58"/>
    </row>
    <row r="1935" ht="15.75" customHeight="1">
      <c r="B1935" s="76"/>
      <c r="C1935" s="37"/>
      <c r="D1935" s="77"/>
      <c r="E1935" s="58"/>
    </row>
    <row r="1936" ht="15.75" customHeight="1">
      <c r="B1936" s="76"/>
      <c r="C1936" s="37"/>
      <c r="D1936" s="77"/>
      <c r="E1936" s="58"/>
    </row>
    <row r="1937" ht="15.75" customHeight="1">
      <c r="B1937" s="76"/>
      <c r="C1937" s="37"/>
      <c r="D1937" s="77"/>
      <c r="E1937" s="58"/>
    </row>
    <row r="1938" ht="15.75" customHeight="1">
      <c r="B1938" s="76"/>
      <c r="C1938" s="37"/>
      <c r="D1938" s="77"/>
      <c r="E1938" s="58"/>
    </row>
    <row r="1939" ht="15.75" customHeight="1">
      <c r="B1939" s="76"/>
      <c r="C1939" s="37"/>
      <c r="D1939" s="77"/>
      <c r="E1939" s="58"/>
    </row>
    <row r="1940" ht="15.75" customHeight="1">
      <c r="B1940" s="76"/>
      <c r="C1940" s="37"/>
      <c r="D1940" s="77"/>
      <c r="E1940" s="58"/>
    </row>
    <row r="1941" ht="15.75" customHeight="1">
      <c r="B1941" s="76"/>
      <c r="C1941" s="37"/>
      <c r="D1941" s="77"/>
      <c r="E1941" s="58"/>
    </row>
    <row r="1942" ht="15.75" customHeight="1">
      <c r="B1942" s="76"/>
      <c r="C1942" s="37"/>
      <c r="D1942" s="77"/>
      <c r="E1942" s="58"/>
    </row>
    <row r="1943" ht="15.75" customHeight="1">
      <c r="B1943" s="76"/>
      <c r="C1943" s="37"/>
      <c r="D1943" s="77"/>
      <c r="E1943" s="58"/>
    </row>
    <row r="1944" ht="15.75" customHeight="1">
      <c r="B1944" s="76"/>
      <c r="C1944" s="37"/>
      <c r="D1944" s="77"/>
      <c r="E1944" s="58"/>
    </row>
    <row r="1945" ht="15.75" customHeight="1">
      <c r="B1945" s="76"/>
      <c r="C1945" s="37"/>
      <c r="D1945" s="77"/>
      <c r="E1945" s="58"/>
    </row>
    <row r="1946" ht="15.75" customHeight="1">
      <c r="B1946" s="76"/>
      <c r="C1946" s="37"/>
      <c r="D1946" s="77"/>
      <c r="E1946" s="58"/>
    </row>
    <row r="1947" ht="15.75" customHeight="1">
      <c r="B1947" s="76"/>
      <c r="C1947" s="37"/>
      <c r="D1947" s="77"/>
      <c r="E1947" s="58"/>
    </row>
    <row r="1948" ht="15.75" customHeight="1">
      <c r="B1948" s="76"/>
      <c r="C1948" s="37"/>
      <c r="D1948" s="77"/>
      <c r="E1948" s="58"/>
    </row>
    <row r="1949" ht="15.75" customHeight="1">
      <c r="B1949" s="76"/>
      <c r="C1949" s="37"/>
      <c r="D1949" s="77"/>
      <c r="E1949" s="58"/>
    </row>
    <row r="1950" ht="15.75" customHeight="1">
      <c r="B1950" s="76"/>
      <c r="C1950" s="37"/>
      <c r="D1950" s="77"/>
      <c r="E1950" s="58"/>
    </row>
    <row r="1951" ht="15.75" customHeight="1">
      <c r="B1951" s="76"/>
      <c r="C1951" s="37"/>
      <c r="D1951" s="77"/>
      <c r="E1951" s="58"/>
    </row>
    <row r="1952" ht="15.75" customHeight="1">
      <c r="B1952" s="76"/>
      <c r="C1952" s="37"/>
      <c r="D1952" s="77"/>
      <c r="E1952" s="58"/>
    </row>
    <row r="1953" ht="15.75" customHeight="1">
      <c r="B1953" s="76"/>
      <c r="C1953" s="37"/>
      <c r="D1953" s="77"/>
      <c r="E1953" s="58"/>
    </row>
    <row r="1954" ht="15.75" customHeight="1">
      <c r="B1954" s="76"/>
      <c r="C1954" s="37"/>
      <c r="D1954" s="77"/>
      <c r="E1954" s="58"/>
    </row>
    <row r="1955" ht="15.75" customHeight="1">
      <c r="B1955" s="76"/>
      <c r="C1955" s="37"/>
      <c r="D1955" s="77"/>
      <c r="E1955" s="58"/>
    </row>
    <row r="1956" ht="15.75" customHeight="1">
      <c r="B1956" s="76"/>
      <c r="C1956" s="37"/>
      <c r="D1956" s="77"/>
      <c r="E1956" s="58"/>
    </row>
    <row r="1957" ht="15.75" customHeight="1">
      <c r="B1957" s="76"/>
      <c r="C1957" s="37"/>
      <c r="D1957" s="77"/>
      <c r="E1957" s="58"/>
    </row>
    <row r="1958" ht="15.75" customHeight="1">
      <c r="B1958" s="76"/>
      <c r="C1958" s="37"/>
      <c r="D1958" s="77"/>
      <c r="E1958" s="58"/>
    </row>
    <row r="1959" ht="15.75" customHeight="1">
      <c r="B1959" s="76"/>
      <c r="C1959" s="37"/>
      <c r="D1959" s="77"/>
      <c r="E1959" s="58"/>
    </row>
    <row r="1960" ht="15.75" customHeight="1">
      <c r="B1960" s="76"/>
      <c r="C1960" s="37"/>
      <c r="D1960" s="77"/>
      <c r="E1960" s="58"/>
    </row>
    <row r="1961" ht="15.75" customHeight="1">
      <c r="B1961" s="76"/>
      <c r="C1961" s="37"/>
      <c r="D1961" s="77"/>
      <c r="E1961" s="58"/>
    </row>
    <row r="1962" ht="15.75" customHeight="1">
      <c r="B1962" s="76"/>
      <c r="C1962" s="37"/>
      <c r="D1962" s="77"/>
      <c r="E1962" s="58"/>
    </row>
    <row r="1963" ht="15.75" customHeight="1">
      <c r="B1963" s="76"/>
      <c r="C1963" s="37"/>
      <c r="D1963" s="77"/>
      <c r="E1963" s="58"/>
    </row>
    <row r="1964" ht="15.75" customHeight="1">
      <c r="B1964" s="76"/>
      <c r="C1964" s="37"/>
      <c r="D1964" s="77"/>
      <c r="E1964" s="58"/>
    </row>
    <row r="1965" ht="15.75" customHeight="1">
      <c r="B1965" s="76"/>
      <c r="C1965" s="37"/>
      <c r="D1965" s="77"/>
      <c r="E1965" s="58"/>
    </row>
    <row r="1966" ht="15.75" customHeight="1">
      <c r="B1966" s="76"/>
      <c r="C1966" s="37"/>
      <c r="D1966" s="77"/>
      <c r="E1966" s="58"/>
    </row>
    <row r="1967" ht="15.75" customHeight="1">
      <c r="B1967" s="76"/>
      <c r="C1967" s="37"/>
      <c r="D1967" s="77"/>
      <c r="E1967" s="58"/>
    </row>
    <row r="1968" ht="15.75" customHeight="1">
      <c r="B1968" s="76"/>
      <c r="C1968" s="37"/>
      <c r="D1968" s="77"/>
      <c r="E1968" s="58"/>
    </row>
    <row r="1969" ht="15.75" customHeight="1">
      <c r="B1969" s="76"/>
      <c r="C1969" s="37"/>
      <c r="D1969" s="77"/>
      <c r="E1969" s="58"/>
    </row>
    <row r="1970" ht="15.75" customHeight="1">
      <c r="B1970" s="76"/>
      <c r="C1970" s="37"/>
      <c r="D1970" s="77"/>
      <c r="E1970" s="58"/>
    </row>
    <row r="1971" ht="15.75" customHeight="1">
      <c r="B1971" s="76"/>
      <c r="C1971" s="37"/>
      <c r="D1971" s="77"/>
      <c r="E1971" s="58"/>
    </row>
    <row r="1972" ht="15.75" customHeight="1">
      <c r="B1972" s="76"/>
      <c r="C1972" s="37"/>
      <c r="D1972" s="77"/>
      <c r="E1972" s="58"/>
    </row>
    <row r="1973" ht="15.75" customHeight="1">
      <c r="B1973" s="76"/>
      <c r="C1973" s="37"/>
      <c r="D1973" s="77"/>
      <c r="E1973" s="58"/>
    </row>
    <row r="1974" ht="15.75" customHeight="1">
      <c r="B1974" s="76"/>
      <c r="C1974" s="37"/>
      <c r="D1974" s="77"/>
      <c r="E1974" s="58"/>
    </row>
    <row r="1975" ht="15.75" customHeight="1">
      <c r="B1975" s="76"/>
      <c r="C1975" s="37"/>
      <c r="D1975" s="77"/>
      <c r="E1975" s="58"/>
    </row>
    <row r="1976" ht="15.75" customHeight="1">
      <c r="B1976" s="76"/>
      <c r="C1976" s="37"/>
      <c r="D1976" s="77"/>
      <c r="E1976" s="58"/>
    </row>
    <row r="1977" ht="15.75" customHeight="1">
      <c r="B1977" s="76"/>
      <c r="C1977" s="37"/>
      <c r="D1977" s="77"/>
      <c r="E1977" s="58"/>
    </row>
    <row r="1978" ht="15.75" customHeight="1">
      <c r="B1978" s="76"/>
      <c r="C1978" s="37"/>
      <c r="D1978" s="77"/>
      <c r="E1978" s="58"/>
    </row>
    <row r="1979" ht="15.75" customHeight="1">
      <c r="B1979" s="76"/>
      <c r="C1979" s="37"/>
      <c r="D1979" s="77"/>
      <c r="E1979" s="58"/>
    </row>
    <row r="1980" ht="15.75" customHeight="1">
      <c r="B1980" s="76"/>
      <c r="C1980" s="37"/>
      <c r="D1980" s="77"/>
      <c r="E1980" s="58"/>
    </row>
    <row r="1981" ht="15.75" customHeight="1">
      <c r="B1981" s="76"/>
      <c r="C1981" s="37"/>
      <c r="D1981" s="77"/>
      <c r="E1981" s="58"/>
    </row>
    <row r="1982" ht="15.75" customHeight="1">
      <c r="B1982" s="76"/>
      <c r="C1982" s="37"/>
      <c r="D1982" s="77"/>
      <c r="E1982" s="58"/>
    </row>
    <row r="1983" ht="15.75" customHeight="1">
      <c r="B1983" s="76"/>
      <c r="C1983" s="37"/>
      <c r="D1983" s="77"/>
      <c r="E1983" s="58"/>
    </row>
    <row r="1984" ht="15.75" customHeight="1">
      <c r="B1984" s="76"/>
      <c r="C1984" s="37"/>
      <c r="D1984" s="77"/>
      <c r="E1984" s="58"/>
    </row>
    <row r="1985" ht="15.75" customHeight="1">
      <c r="B1985" s="76"/>
      <c r="C1985" s="37"/>
      <c r="D1985" s="77"/>
      <c r="E1985" s="58"/>
    </row>
    <row r="1986" ht="15.75" customHeight="1">
      <c r="B1986" s="76"/>
      <c r="C1986" s="37"/>
      <c r="D1986" s="77"/>
      <c r="E1986" s="58"/>
    </row>
    <row r="1987" ht="15.75" customHeight="1">
      <c r="B1987" s="76"/>
      <c r="C1987" s="37"/>
      <c r="D1987" s="77"/>
      <c r="E1987" s="58"/>
    </row>
  </sheetData>
  <customSheetViews>
    <customSheetView guid="{CF22B768-41AB-4095-A8BB-F193DFD8A6B7}" filter="1" showAutoFilter="1">
      <autoFilter ref="$A$1:$F$987"/>
    </customSheetView>
  </customSheetViews>
  <conditionalFormatting sqref="C4:C1987">
    <cfRule type="cellIs" dxfId="5" priority="1" operator="lessThanOrEqual">
      <formula>10</formula>
    </cfRule>
  </conditionalFormatting>
  <conditionalFormatting sqref="C4:C1987">
    <cfRule type="cellIs" dxfId="6" priority="2" operator="greaterThanOrEqual">
      <formula>11</formula>
    </cfRule>
  </conditionalFormatting>
  <conditionalFormatting sqref="B4:B1987">
    <cfRule type="endsWith" dxfId="7" priority="3" operator="endsWith" text="*">
      <formula>RIGHT((B4),LEN("*"))=("*")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.25"/>
    <col customWidth="1" min="2" max="2" width="34.38"/>
    <col customWidth="1" min="3" max="3" width="20.38"/>
    <col customWidth="1" hidden="1" min="4" max="4" width="27.25"/>
    <col customWidth="1" min="5" max="5" width="24.63"/>
    <col customWidth="1" min="6" max="6" width="25.0"/>
  </cols>
  <sheetData>
    <row r="1" ht="19.5" customHeight="1">
      <c r="A1" s="2"/>
      <c r="B1" s="2"/>
      <c r="C1" s="4"/>
      <c r="D1" s="4"/>
      <c r="E1" s="6"/>
      <c r="F1" s="4"/>
    </row>
    <row r="2" ht="19.5" customHeight="1">
      <c r="A2" s="14" t="s">
        <v>0</v>
      </c>
      <c r="B2" s="16" t="s">
        <v>2</v>
      </c>
      <c r="C2" s="18" t="s">
        <v>6</v>
      </c>
      <c r="D2" s="20" t="s">
        <v>9</v>
      </c>
      <c r="E2" s="18" t="s">
        <v>11</v>
      </c>
      <c r="F2" s="23" t="s">
        <v>7</v>
      </c>
    </row>
    <row r="3" ht="19.5" customHeight="1">
      <c r="A3" s="26"/>
      <c r="B3" s="28" t="s">
        <v>15</v>
      </c>
      <c r="C3" s="41">
        <v>2.0</v>
      </c>
      <c r="D3" s="42">
        <f>IF(B3="","",VLOOKUP(B3,Magazzino!$B$4:$D$987,2))</f>
        <v>-2</v>
      </c>
      <c r="E3" s="43" t="s">
        <v>29</v>
      </c>
      <c r="F3" s="44">
        <v>46067.0</v>
      </c>
    </row>
    <row r="4" ht="19.5" customHeight="1">
      <c r="A4" s="26"/>
      <c r="B4" s="45" t="s">
        <v>32</v>
      </c>
      <c r="C4" s="41">
        <v>1.0</v>
      </c>
      <c r="D4" s="42">
        <f>IF(B4="","",VLOOKUP(B4,Magazzino!$B$4:$D$987,2))</f>
        <v>-2</v>
      </c>
      <c r="E4" s="43" t="s">
        <v>29</v>
      </c>
      <c r="F4" s="44">
        <v>46067.0</v>
      </c>
    </row>
    <row r="5" ht="19.5" customHeight="1">
      <c r="A5" s="26"/>
      <c r="B5" s="45" t="s">
        <v>40</v>
      </c>
      <c r="C5" s="41">
        <v>1.0</v>
      </c>
      <c r="D5" s="42">
        <f>IF(B5="","",VLOOKUP(B5,Magazzino!$B$4:$D$987,2))</f>
        <v>17</v>
      </c>
      <c r="E5" s="43" t="s">
        <v>29</v>
      </c>
      <c r="F5" s="44">
        <v>46067.0</v>
      </c>
    </row>
    <row r="6" ht="19.5" customHeight="1">
      <c r="A6" s="26"/>
      <c r="B6" s="45" t="s">
        <v>45</v>
      </c>
      <c r="C6" s="41">
        <v>2.0</v>
      </c>
      <c r="D6" s="42">
        <f>IF(B6="","",VLOOKUP(B6,Magazzino!$B$4:$D$987,2))</f>
        <v>102</v>
      </c>
      <c r="E6" s="43" t="s">
        <v>29</v>
      </c>
      <c r="F6" s="44">
        <v>46067.0</v>
      </c>
    </row>
    <row r="7" ht="19.5" customHeight="1">
      <c r="A7" s="26"/>
      <c r="B7" s="45" t="s">
        <v>52</v>
      </c>
      <c r="C7" s="41">
        <v>1.0</v>
      </c>
      <c r="D7" s="42">
        <f>IF(B7="","",VLOOKUP(B7,Magazzino!$B$4:$D$987,2))</f>
        <v>18</v>
      </c>
      <c r="E7" s="43" t="s">
        <v>29</v>
      </c>
      <c r="F7" s="44">
        <v>46067.0</v>
      </c>
    </row>
    <row r="8" ht="19.5" customHeight="1">
      <c r="A8" s="26"/>
      <c r="B8" s="45" t="s">
        <v>19</v>
      </c>
      <c r="C8" s="41">
        <v>1.0</v>
      </c>
      <c r="D8" s="42">
        <f>IF(B8="","",VLOOKUP(B8,Magazzino!$B$4:$D$987,2))</f>
        <v>3</v>
      </c>
      <c r="E8" s="43" t="s">
        <v>29</v>
      </c>
      <c r="F8" s="44">
        <v>46067.0</v>
      </c>
    </row>
    <row r="9" ht="19.5" customHeight="1">
      <c r="A9" s="26"/>
      <c r="B9" s="45" t="s">
        <v>60</v>
      </c>
      <c r="C9" s="41">
        <v>1.0</v>
      </c>
      <c r="D9" s="42">
        <f>IF(B9="","",VLOOKUP(B9,Magazzino!$B$4:$D$987,2))</f>
        <v>6</v>
      </c>
      <c r="E9" s="43" t="s">
        <v>29</v>
      </c>
      <c r="F9" s="44">
        <v>46067.0</v>
      </c>
    </row>
    <row r="10" ht="19.5" customHeight="1">
      <c r="A10" s="26"/>
      <c r="B10" s="45" t="s">
        <v>28</v>
      </c>
      <c r="C10" s="41">
        <v>2.0</v>
      </c>
      <c r="D10" s="42">
        <f>IF(B10="","",VLOOKUP(B10,Magazzino!$B$4:$D$987,2))</f>
        <v>40</v>
      </c>
      <c r="E10" s="43" t="s">
        <v>64</v>
      </c>
      <c r="F10" s="44">
        <v>46065.0</v>
      </c>
    </row>
    <row r="11" ht="19.5" customHeight="1">
      <c r="A11" s="26"/>
      <c r="B11" s="45" t="s">
        <v>66</v>
      </c>
      <c r="C11" s="41">
        <v>4.0</v>
      </c>
      <c r="D11" s="42">
        <f>IF(B11="","",VLOOKUP(B11,Magazzino!$B$4:$D$987,2))</f>
        <v>-2</v>
      </c>
      <c r="E11" s="43" t="s">
        <v>64</v>
      </c>
      <c r="F11" s="44">
        <v>46065.0</v>
      </c>
    </row>
    <row r="12" ht="19.5" customHeight="1">
      <c r="A12" s="26"/>
      <c r="B12" s="45" t="s">
        <v>68</v>
      </c>
      <c r="C12" s="41">
        <v>3.0</v>
      </c>
      <c r="D12" s="42">
        <f>IF(B12="","",VLOOKUP(B12,Magazzino!$B$4:$D$987,2))</f>
        <v>192</v>
      </c>
      <c r="E12" s="43" t="s">
        <v>29</v>
      </c>
      <c r="F12" s="44">
        <v>46066.0</v>
      </c>
    </row>
    <row r="13" ht="19.5" customHeight="1">
      <c r="A13" s="26"/>
      <c r="B13" s="45" t="s">
        <v>72</v>
      </c>
      <c r="C13" s="41">
        <v>2.0</v>
      </c>
      <c r="D13" s="42">
        <f>IF(B13="","",VLOOKUP(B13,Magazzino!$B$4:$D$987,2))</f>
        <v>0</v>
      </c>
      <c r="E13" s="43" t="s">
        <v>64</v>
      </c>
      <c r="F13" s="44">
        <v>46066.0</v>
      </c>
    </row>
    <row r="14" ht="19.5" customHeight="1">
      <c r="A14" s="26"/>
      <c r="B14" s="45" t="s">
        <v>18</v>
      </c>
      <c r="C14" s="41">
        <v>2.0</v>
      </c>
      <c r="D14" s="42">
        <f>IF(B14="","",VLOOKUP(B14,Magazzino!$B$4:$D$987,2))</f>
        <v>10</v>
      </c>
      <c r="E14" s="43" t="s">
        <v>64</v>
      </c>
      <c r="F14" s="44">
        <v>46066.0</v>
      </c>
    </row>
    <row r="15" ht="19.5" customHeight="1">
      <c r="A15" s="26"/>
      <c r="B15" s="45" t="s">
        <v>77</v>
      </c>
      <c r="C15" s="41">
        <v>2.0</v>
      </c>
      <c r="D15" s="42">
        <f>IF(B15="","",VLOOKUP(B15,Magazzino!$B$4:$D$987,2))</f>
        <v>42</v>
      </c>
      <c r="E15" s="43" t="s">
        <v>64</v>
      </c>
      <c r="F15" s="44">
        <v>46066.0</v>
      </c>
    </row>
    <row r="16" ht="19.5" customHeight="1">
      <c r="A16" s="26"/>
      <c r="B16" s="45" t="s">
        <v>83</v>
      </c>
      <c r="C16" s="41">
        <v>1.0</v>
      </c>
      <c r="D16" s="42">
        <f>IF(B16="","",VLOOKUP(B16,Magazzino!$B$4:$D$987,2))</f>
        <v>10</v>
      </c>
      <c r="E16" s="43" t="s">
        <v>64</v>
      </c>
      <c r="F16" s="44">
        <v>46066.0</v>
      </c>
    </row>
    <row r="17" ht="19.5" customHeight="1">
      <c r="A17" s="26"/>
      <c r="B17" s="45" t="s">
        <v>40</v>
      </c>
      <c r="C17" s="41">
        <v>1.0</v>
      </c>
      <c r="D17" s="42">
        <f>IF(B17="","",VLOOKUP(B17,Magazzino!$B$4:$D$987,2))</f>
        <v>17</v>
      </c>
      <c r="E17" s="43" t="s">
        <v>64</v>
      </c>
      <c r="F17" s="44">
        <v>46069.0</v>
      </c>
    </row>
    <row r="18" ht="19.5" customHeight="1">
      <c r="A18" s="26"/>
      <c r="B18" s="45" t="s">
        <v>92</v>
      </c>
      <c r="C18" s="41">
        <v>3.0</v>
      </c>
      <c r="D18" s="42">
        <f>IF(B18="","",VLOOKUP(B18,Magazzino!$B$4:$D$987,2))</f>
        <v>-2</v>
      </c>
      <c r="E18" s="43" t="s">
        <v>64</v>
      </c>
      <c r="F18" s="44">
        <v>46069.0</v>
      </c>
    </row>
    <row r="19" ht="19.5" customHeight="1">
      <c r="A19" s="2"/>
      <c r="B19" s="47" t="s">
        <v>99</v>
      </c>
      <c r="C19" s="48">
        <v>4.0</v>
      </c>
      <c r="D19" s="49">
        <f>IF(B19="","",VLOOKUP(B19,Magazzino!$B$4:$D$987,2))</f>
        <v>-2</v>
      </c>
      <c r="E19" s="50" t="s">
        <v>64</v>
      </c>
      <c r="F19" s="51">
        <v>46069.0</v>
      </c>
    </row>
    <row r="20" ht="19.5" customHeight="1">
      <c r="A20" s="2"/>
      <c r="B20" s="52" t="s">
        <v>18</v>
      </c>
      <c r="C20" s="48">
        <v>1.0</v>
      </c>
      <c r="D20" s="49">
        <f>IF(B20="","",VLOOKUP(B20,Magazzino!$B$4:$D$987,2))</f>
        <v>10</v>
      </c>
      <c r="E20" s="50" t="s">
        <v>64</v>
      </c>
      <c r="F20" s="51">
        <v>46071.0</v>
      </c>
    </row>
    <row r="21" ht="19.5" customHeight="1">
      <c r="A21" s="2"/>
      <c r="B21" s="52" t="s">
        <v>16</v>
      </c>
      <c r="C21" s="48">
        <v>1.0</v>
      </c>
      <c r="D21" s="49">
        <f>IF(B21="","",VLOOKUP(B21,Magazzino!$B$4:$D$987,2))</f>
        <v>10</v>
      </c>
      <c r="E21" s="50" t="s">
        <v>64</v>
      </c>
      <c r="F21" s="51">
        <v>46071.0</v>
      </c>
    </row>
    <row r="22" ht="19.5" customHeight="1">
      <c r="A22" s="2"/>
      <c r="B22" s="52" t="s">
        <v>109</v>
      </c>
      <c r="C22" s="48">
        <v>1.0</v>
      </c>
      <c r="D22" s="49">
        <f>IF(B22="","",VLOOKUP(B22,Magazzino!$B$4:$D$987,2))</f>
        <v>12</v>
      </c>
      <c r="E22" s="50" t="s">
        <v>111</v>
      </c>
      <c r="F22" s="51">
        <v>46072.0</v>
      </c>
    </row>
    <row r="23" ht="19.5" customHeight="1">
      <c r="A23" s="2"/>
      <c r="B23" s="52" t="s">
        <v>22</v>
      </c>
      <c r="C23" s="48">
        <v>1.0</v>
      </c>
      <c r="D23" s="49">
        <f>IF(B23="","",VLOOKUP(B23,Magazzino!$B$4:$D$987,2))</f>
        <v>5</v>
      </c>
      <c r="E23" s="50" t="s">
        <v>111</v>
      </c>
      <c r="F23" s="51">
        <v>46072.0</v>
      </c>
    </row>
    <row r="24" ht="19.5" customHeight="1">
      <c r="A24" s="2"/>
      <c r="B24" s="52" t="s">
        <v>83</v>
      </c>
      <c r="C24" s="48">
        <v>1.0</v>
      </c>
      <c r="D24" s="49">
        <f>IF(B24="","",VLOOKUP(B24,Magazzino!$B$4:$D$987,2))</f>
        <v>10</v>
      </c>
      <c r="E24" s="50" t="s">
        <v>111</v>
      </c>
      <c r="F24" s="51">
        <v>46072.0</v>
      </c>
    </row>
    <row r="25" ht="19.5" customHeight="1">
      <c r="A25" s="2"/>
      <c r="B25" s="52" t="s">
        <v>116</v>
      </c>
      <c r="C25" s="48">
        <v>1.0</v>
      </c>
      <c r="D25" s="49">
        <f>IF(B25="","",VLOOKUP(B25,Magazzino!$B$4:$D$987,2))</f>
        <v>6</v>
      </c>
      <c r="E25" s="50" t="s">
        <v>111</v>
      </c>
      <c r="F25" s="51">
        <v>46072.0</v>
      </c>
    </row>
    <row r="26" ht="19.5" customHeight="1">
      <c r="A26" s="2"/>
      <c r="B26" s="52" t="s">
        <v>117</v>
      </c>
      <c r="C26" s="48">
        <v>1.0</v>
      </c>
      <c r="D26" s="49">
        <f>IF(B26="","",VLOOKUP(B26,Magazzino!$B$4:$D$987,2))</f>
        <v>27</v>
      </c>
      <c r="E26" s="50" t="s">
        <v>111</v>
      </c>
      <c r="F26" s="51">
        <v>46072.0</v>
      </c>
    </row>
    <row r="27" ht="19.5" customHeight="1">
      <c r="A27" s="2"/>
      <c r="B27" s="52" t="s">
        <v>119</v>
      </c>
      <c r="C27" s="48">
        <v>1.0</v>
      </c>
      <c r="D27" s="49">
        <f>IF(B27="","",VLOOKUP(B27,Magazzino!$B$4:$D$987,2))</f>
        <v>0</v>
      </c>
      <c r="E27" s="50" t="s">
        <v>64</v>
      </c>
      <c r="F27" s="51">
        <v>46072.0</v>
      </c>
    </row>
    <row r="28" ht="19.5" customHeight="1">
      <c r="A28" s="2"/>
      <c r="B28" s="52" t="s">
        <v>80</v>
      </c>
      <c r="C28" s="48">
        <v>1.0</v>
      </c>
      <c r="D28" s="49">
        <f>IF(B28="","",VLOOKUP(B28,Magazzino!$B$4:$D$987,2))</f>
        <v>9</v>
      </c>
      <c r="E28" s="50" t="s">
        <v>64</v>
      </c>
      <c r="F28" s="51">
        <v>46072.0</v>
      </c>
    </row>
    <row r="29" ht="19.5" customHeight="1">
      <c r="A29" s="2"/>
      <c r="B29" s="52" t="s">
        <v>51</v>
      </c>
      <c r="C29" s="48">
        <v>2.0</v>
      </c>
      <c r="D29" s="49">
        <f>IF(B29="","",VLOOKUP(B29,Magazzino!$B$4:$D$987,2))</f>
        <v>-2</v>
      </c>
      <c r="E29" s="50" t="s">
        <v>64</v>
      </c>
      <c r="F29" s="51">
        <v>46072.0</v>
      </c>
    </row>
    <row r="30" ht="19.5" customHeight="1">
      <c r="A30" s="2"/>
      <c r="B30" s="52" t="s">
        <v>122</v>
      </c>
      <c r="C30" s="48">
        <v>1.0</v>
      </c>
      <c r="D30" s="49">
        <f>IF(B30="","",VLOOKUP(B30,Magazzino!$B$4:$D$987,2))</f>
        <v>-8</v>
      </c>
      <c r="E30" s="50" t="s">
        <v>111</v>
      </c>
      <c r="F30" s="51">
        <v>46072.0</v>
      </c>
    </row>
    <row r="31" ht="19.5" customHeight="1">
      <c r="A31" s="2"/>
      <c r="B31" s="52" t="s">
        <v>73</v>
      </c>
      <c r="C31" s="48">
        <v>1.0</v>
      </c>
      <c r="D31" s="49">
        <f>IF(B31="","",VLOOKUP(B31,Magazzino!$B$4:$D$987,2))</f>
        <v>9</v>
      </c>
      <c r="E31" s="50" t="s">
        <v>64</v>
      </c>
      <c r="F31" s="51">
        <v>46073.0</v>
      </c>
    </row>
    <row r="32" ht="19.5" customHeight="1">
      <c r="A32" s="2"/>
      <c r="B32" s="52" t="s">
        <v>71</v>
      </c>
      <c r="C32" s="48">
        <v>0.0</v>
      </c>
      <c r="D32" s="49">
        <f>IF(B32="","",VLOOKUP(B32,Magazzino!$B$4:$D$987,2))</f>
        <v>0</v>
      </c>
      <c r="E32" s="50" t="s">
        <v>64</v>
      </c>
      <c r="F32" s="51">
        <v>46073.0</v>
      </c>
    </row>
    <row r="33" ht="19.5" customHeight="1">
      <c r="A33" s="2"/>
      <c r="B33" s="52" t="s">
        <v>16</v>
      </c>
      <c r="C33" s="48">
        <v>2.0</v>
      </c>
      <c r="D33" s="49">
        <f>IF(B33="","",VLOOKUP(B33,Magazzino!$B$4:$D$987,2))</f>
        <v>10</v>
      </c>
      <c r="E33" s="50" t="s">
        <v>64</v>
      </c>
      <c r="F33" s="51">
        <v>46073.0</v>
      </c>
    </row>
    <row r="34" ht="19.5" customHeight="1">
      <c r="A34" s="2"/>
      <c r="B34" s="52" t="s">
        <v>66</v>
      </c>
      <c r="C34" s="48">
        <v>3.0</v>
      </c>
      <c r="D34" s="49">
        <f>IF(B34="","",VLOOKUP(B34,Magazzino!$B$4:$D$987,2))</f>
        <v>-2</v>
      </c>
      <c r="E34" s="50" t="s">
        <v>64</v>
      </c>
      <c r="F34" s="51">
        <v>46073.0</v>
      </c>
    </row>
    <row r="35" ht="19.5" customHeight="1">
      <c r="A35" s="2"/>
      <c r="B35" s="52" t="s">
        <v>80</v>
      </c>
      <c r="C35" s="48">
        <v>1.0</v>
      </c>
      <c r="D35" s="49">
        <f>IF(B35="","",VLOOKUP(B35,Magazzino!$B$4:$D$987,2))</f>
        <v>9</v>
      </c>
      <c r="E35" s="50" t="s">
        <v>129</v>
      </c>
      <c r="F35" s="51">
        <v>46074.0</v>
      </c>
    </row>
    <row r="36" ht="19.5" customHeight="1">
      <c r="A36" s="2"/>
      <c r="B36" s="52" t="s">
        <v>130</v>
      </c>
      <c r="C36" s="48">
        <v>2.0</v>
      </c>
      <c r="D36" s="49">
        <f>IF(B36="","",VLOOKUP(B36,Magazzino!$B$4:$D$987,2))</f>
        <v>-2</v>
      </c>
      <c r="E36" s="50" t="s">
        <v>129</v>
      </c>
      <c r="F36" s="51">
        <v>46074.0</v>
      </c>
    </row>
    <row r="37" ht="19.5" customHeight="1">
      <c r="A37" s="2"/>
      <c r="B37" s="52" t="s">
        <v>22</v>
      </c>
      <c r="C37" s="48">
        <v>2.0</v>
      </c>
      <c r="D37" s="49">
        <f>IF(B37="","",VLOOKUP(B37,Magazzino!$B$4:$D$987,2))</f>
        <v>5</v>
      </c>
      <c r="E37" s="50" t="s">
        <v>129</v>
      </c>
      <c r="F37" s="51">
        <v>46074.0</v>
      </c>
    </row>
    <row r="38" ht="19.5" customHeight="1">
      <c r="A38" s="2"/>
      <c r="B38" s="52" t="s">
        <v>82</v>
      </c>
      <c r="C38" s="48">
        <v>1.0</v>
      </c>
      <c r="D38" s="49">
        <f>IF(B38="","",VLOOKUP(B38,Magazzino!$B$4:$D$987,2))</f>
        <v>-2</v>
      </c>
      <c r="E38" s="50" t="s">
        <v>129</v>
      </c>
      <c r="F38" s="51">
        <v>46074.0</v>
      </c>
    </row>
    <row r="39" ht="19.5" customHeight="1">
      <c r="A39" s="2"/>
      <c r="B39" s="52" t="s">
        <v>134</v>
      </c>
      <c r="C39" s="48">
        <v>1.0</v>
      </c>
      <c r="D39" s="49">
        <f>IF(B39="","",VLOOKUP(B39,Magazzino!$B$4:$D$987,2))</f>
        <v>30</v>
      </c>
      <c r="E39" s="50" t="s">
        <v>129</v>
      </c>
      <c r="F39" s="51">
        <v>46074.0</v>
      </c>
    </row>
    <row r="40" ht="19.5" customHeight="1">
      <c r="A40" s="2"/>
      <c r="B40" s="52" t="s">
        <v>70</v>
      </c>
      <c r="C40" s="48">
        <v>2.0</v>
      </c>
      <c r="D40" s="49">
        <f>IF(B40="","",VLOOKUP(B40,Magazzino!$B$4:$D$987,2))</f>
        <v>5</v>
      </c>
      <c r="E40" s="50" t="s">
        <v>129</v>
      </c>
      <c r="F40" s="51">
        <v>46074.0</v>
      </c>
    </row>
    <row r="41" ht="19.5" customHeight="1">
      <c r="A41" s="2"/>
      <c r="B41" s="52" t="s">
        <v>136</v>
      </c>
      <c r="C41" s="48">
        <v>1.0</v>
      </c>
      <c r="D41" s="49">
        <f>IF(B41="","",VLOOKUP(B41,Magazzino!$B$4:$D$987,2))</f>
        <v>3</v>
      </c>
      <c r="E41" s="50" t="s">
        <v>129</v>
      </c>
      <c r="F41" s="51">
        <v>46074.0</v>
      </c>
    </row>
    <row r="42" ht="19.5" customHeight="1">
      <c r="A42" s="2"/>
      <c r="B42" s="52" t="s">
        <v>138</v>
      </c>
      <c r="C42" s="48">
        <v>1.0</v>
      </c>
      <c r="D42" s="49">
        <f>IF(B42="","",VLOOKUP(B42,Magazzino!$B$4:$D$987,2))</f>
        <v>4</v>
      </c>
      <c r="E42" s="50" t="s">
        <v>129</v>
      </c>
      <c r="F42" s="51">
        <v>46074.0</v>
      </c>
    </row>
    <row r="43" ht="19.5" customHeight="1">
      <c r="A43" s="2"/>
      <c r="B43" s="52" t="s">
        <v>112</v>
      </c>
      <c r="C43" s="48">
        <v>1.0</v>
      </c>
      <c r="D43" s="49">
        <f>IF(B43="","",VLOOKUP(B43,Magazzino!$B$4:$D$987,2))</f>
        <v>1</v>
      </c>
      <c r="E43" s="50" t="s">
        <v>129</v>
      </c>
      <c r="F43" s="51">
        <v>46074.0</v>
      </c>
    </row>
    <row r="44" ht="19.5" customHeight="1">
      <c r="A44" s="2"/>
      <c r="B44" s="52" t="s">
        <v>141</v>
      </c>
      <c r="C44" s="48">
        <v>1.0</v>
      </c>
      <c r="D44" s="49">
        <f>IF(B44="","",VLOOKUP(B44,Magazzino!$B$4:$D$987,2))</f>
        <v>18</v>
      </c>
      <c r="E44" s="50" t="s">
        <v>129</v>
      </c>
      <c r="F44" s="51">
        <v>46074.0</v>
      </c>
    </row>
    <row r="45" ht="19.5" customHeight="1">
      <c r="A45" s="2"/>
      <c r="B45" s="52" t="s">
        <v>77</v>
      </c>
      <c r="C45" s="48">
        <v>2.0</v>
      </c>
      <c r="D45" s="49">
        <f>IF(B45="","",VLOOKUP(B45,Magazzino!$B$4:$D$987,2))</f>
        <v>42</v>
      </c>
      <c r="E45" s="50" t="s">
        <v>20</v>
      </c>
      <c r="F45" s="51">
        <v>46074.0</v>
      </c>
    </row>
    <row r="46" ht="19.5" customHeight="1">
      <c r="A46" s="2"/>
      <c r="B46" s="52" t="s">
        <v>77</v>
      </c>
      <c r="C46" s="48">
        <v>1.0</v>
      </c>
      <c r="D46" s="49">
        <f>IF(B46="","",VLOOKUP(B46,Magazzino!$B$4:$D$987,2))</f>
        <v>42</v>
      </c>
      <c r="E46" s="50" t="s">
        <v>64</v>
      </c>
      <c r="F46" s="51">
        <v>46083.0</v>
      </c>
    </row>
    <row r="47" ht="19.5" customHeight="1">
      <c r="A47" s="2"/>
      <c r="B47" s="52" t="s">
        <v>22</v>
      </c>
      <c r="C47" s="48">
        <v>2.0</v>
      </c>
      <c r="D47" s="49">
        <f>IF(B47="","",VLOOKUP(B47,Magazzino!$B$4:$D$987,2))</f>
        <v>5</v>
      </c>
      <c r="E47" s="50" t="s">
        <v>64</v>
      </c>
      <c r="F47" s="51">
        <v>46083.0</v>
      </c>
    </row>
    <row r="48" ht="19.5" customHeight="1">
      <c r="A48" s="2"/>
      <c r="B48" s="52" t="s">
        <v>16</v>
      </c>
      <c r="C48" s="48">
        <v>2.0</v>
      </c>
      <c r="D48" s="49">
        <f>IF(B48="","",VLOOKUP(B48,Magazzino!$B$4:$D$987,2))</f>
        <v>10</v>
      </c>
      <c r="E48" s="50" t="s">
        <v>64</v>
      </c>
      <c r="F48" s="51">
        <v>46083.0</v>
      </c>
    </row>
    <row r="49" ht="19.5" customHeight="1">
      <c r="A49" s="2"/>
      <c r="B49" s="52" t="s">
        <v>44</v>
      </c>
      <c r="C49" s="48">
        <v>2.0</v>
      </c>
      <c r="D49" s="49">
        <f>IF(B49="","",VLOOKUP(B49,Magazzino!$B$4:$D$987,2))</f>
        <v>16</v>
      </c>
      <c r="E49" s="50" t="s">
        <v>64</v>
      </c>
      <c r="F49" s="51">
        <v>46084.0</v>
      </c>
    </row>
    <row r="50" ht="19.5" customHeight="1">
      <c r="A50" s="2"/>
      <c r="B50" s="52" t="s">
        <v>28</v>
      </c>
      <c r="C50" s="48">
        <v>2.0</v>
      </c>
      <c r="D50" s="49">
        <f>IF(B50="","",VLOOKUP(B50,Magazzino!$B$4:$D$987,2))</f>
        <v>40</v>
      </c>
      <c r="E50" s="50" t="s">
        <v>64</v>
      </c>
      <c r="F50" s="51">
        <v>46084.0</v>
      </c>
    </row>
    <row r="51" ht="19.5" customHeight="1">
      <c r="A51" s="2"/>
      <c r="B51" s="52" t="s">
        <v>127</v>
      </c>
      <c r="C51" s="48">
        <v>1.0</v>
      </c>
      <c r="D51" s="49">
        <f>IF(B51="","",VLOOKUP(B51,Magazzino!$B$4:$D$987,2))</f>
        <v>3</v>
      </c>
      <c r="E51" s="50" t="s">
        <v>129</v>
      </c>
      <c r="F51" s="51">
        <v>46085.0</v>
      </c>
    </row>
    <row r="52" ht="19.5" customHeight="1">
      <c r="A52" s="2"/>
      <c r="B52" s="52" t="s">
        <v>83</v>
      </c>
      <c r="C52" s="48">
        <v>1.0</v>
      </c>
      <c r="D52" s="49">
        <f>IF(B52="","",VLOOKUP(B52,Magazzino!$B$4:$D$987,2))</f>
        <v>10</v>
      </c>
      <c r="E52" s="50" t="s">
        <v>129</v>
      </c>
      <c r="F52" s="51">
        <v>46085.0</v>
      </c>
    </row>
    <row r="53" ht="19.5" customHeight="1">
      <c r="A53" s="2"/>
      <c r="B53" s="52" t="s">
        <v>78</v>
      </c>
      <c r="C53" s="48">
        <v>1.0</v>
      </c>
      <c r="D53" s="49">
        <f>IF(B53="","",VLOOKUP(B53,Magazzino!$B$4:$D$987,2))</f>
        <v>8</v>
      </c>
      <c r="E53" s="50" t="s">
        <v>129</v>
      </c>
      <c r="F53" s="51">
        <v>46085.0</v>
      </c>
    </row>
    <row r="54" ht="19.5" customHeight="1">
      <c r="A54" s="2"/>
      <c r="B54" s="52" t="s">
        <v>116</v>
      </c>
      <c r="C54" s="48">
        <v>2.0</v>
      </c>
      <c r="D54" s="49">
        <f>IF(B54="","",VLOOKUP(B54,Magazzino!$B$4:$D$987,2))</f>
        <v>6</v>
      </c>
      <c r="E54" s="50" t="s">
        <v>129</v>
      </c>
      <c r="F54" s="51">
        <v>46085.0</v>
      </c>
    </row>
    <row r="55" ht="19.5" customHeight="1">
      <c r="A55" s="2"/>
      <c r="B55" s="52" t="s">
        <v>21</v>
      </c>
      <c r="C55" s="48">
        <v>5.0</v>
      </c>
      <c r="D55" s="49">
        <f>IF(B55="","",VLOOKUP(B55,Magazzino!$B$4:$D$987,2))</f>
        <v>75</v>
      </c>
      <c r="E55" s="50" t="s">
        <v>64</v>
      </c>
      <c r="F55" s="51">
        <v>46086.0</v>
      </c>
    </row>
    <row r="56" ht="19.5" customHeight="1">
      <c r="A56" s="2"/>
      <c r="B56" s="52" t="s">
        <v>119</v>
      </c>
      <c r="C56" s="48">
        <v>2.0</v>
      </c>
      <c r="D56" s="49">
        <f>IF(B56="","",VLOOKUP(B56,Magazzino!$B$4:$D$987,2))</f>
        <v>0</v>
      </c>
      <c r="E56" s="50" t="s">
        <v>64</v>
      </c>
      <c r="F56" s="51">
        <v>46086.0</v>
      </c>
    </row>
    <row r="57" ht="19.5" customHeight="1">
      <c r="A57" s="2"/>
      <c r="B57" s="52" t="s">
        <v>42</v>
      </c>
      <c r="C57" s="48">
        <v>4.0</v>
      </c>
      <c r="D57" s="49">
        <f>IF(B57="","",VLOOKUP(B57,Magazzino!$B$4:$D$987,2))</f>
        <v>1</v>
      </c>
      <c r="E57" s="50" t="s">
        <v>64</v>
      </c>
      <c r="F57" s="51">
        <v>46086.0</v>
      </c>
    </row>
    <row r="58" ht="19.5" customHeight="1">
      <c r="A58" s="2"/>
      <c r="B58" s="52" t="s">
        <v>56</v>
      </c>
      <c r="C58" s="48">
        <v>2.0</v>
      </c>
      <c r="D58" s="49">
        <f>IF(B58="","",VLOOKUP(B58,Magazzino!$B$4:$D$987,2))</f>
        <v>-2</v>
      </c>
      <c r="E58" s="50" t="s">
        <v>64</v>
      </c>
      <c r="F58" s="51">
        <v>46086.0</v>
      </c>
    </row>
    <row r="59" ht="19.5" customHeight="1">
      <c r="A59" s="2"/>
      <c r="B59" s="52" t="s">
        <v>51</v>
      </c>
      <c r="C59" s="48">
        <v>2.0</v>
      </c>
      <c r="D59" s="49">
        <f>IF(B59="","",VLOOKUP(B59,Magazzino!$B$4:$D$987,2))</f>
        <v>-2</v>
      </c>
      <c r="E59" s="50" t="s">
        <v>64</v>
      </c>
      <c r="F59" s="51">
        <v>46086.0</v>
      </c>
    </row>
    <row r="60" ht="19.5" customHeight="1">
      <c r="A60" s="2"/>
      <c r="B60" s="52" t="s">
        <v>164</v>
      </c>
      <c r="C60" s="48">
        <v>1.0</v>
      </c>
      <c r="D60" s="49">
        <f>IF(B60="","",VLOOKUP(B60,Magazzino!$B$4:$D$987,2))</f>
        <v>-2</v>
      </c>
      <c r="E60" s="50" t="s">
        <v>64</v>
      </c>
      <c r="F60" s="51">
        <v>46086.0</v>
      </c>
    </row>
    <row r="61" ht="19.5" customHeight="1">
      <c r="A61" s="2"/>
      <c r="B61" s="52" t="s">
        <v>122</v>
      </c>
      <c r="C61" s="48">
        <v>1.0</v>
      </c>
      <c r="D61" s="49">
        <f>IF(B61="","",VLOOKUP(B61,Magazzino!$B$4:$D$987,2))</f>
        <v>-8</v>
      </c>
      <c r="E61" s="50" t="s">
        <v>167</v>
      </c>
      <c r="F61" s="51">
        <v>46086.0</v>
      </c>
    </row>
    <row r="62" ht="19.5" customHeight="1">
      <c r="A62" s="2"/>
      <c r="B62" s="52" t="s">
        <v>77</v>
      </c>
      <c r="C62" s="48">
        <v>1.0</v>
      </c>
      <c r="D62" s="49">
        <f>IF(B62="","",VLOOKUP(B62,Magazzino!$B$4:$D$987,2))</f>
        <v>42</v>
      </c>
      <c r="E62" s="50" t="s">
        <v>167</v>
      </c>
      <c r="F62" s="51">
        <v>46086.0</v>
      </c>
    </row>
    <row r="63" ht="19.5" customHeight="1">
      <c r="A63" s="2"/>
      <c r="B63" s="52" t="s">
        <v>77</v>
      </c>
      <c r="C63" s="48">
        <v>1.0</v>
      </c>
      <c r="D63" s="49">
        <f>IF(B63="","",VLOOKUP(B63,Magazzino!$B$4:$D$987,2))</f>
        <v>42</v>
      </c>
      <c r="E63" s="50" t="s">
        <v>64</v>
      </c>
      <c r="F63" s="51">
        <v>46088.0</v>
      </c>
    </row>
    <row r="64" ht="19.5" customHeight="1">
      <c r="A64" s="2"/>
      <c r="B64" s="52" t="s">
        <v>28</v>
      </c>
      <c r="C64" s="48">
        <v>2.0</v>
      </c>
      <c r="D64" s="49">
        <f>IF(B64="","",VLOOKUP(B64,Magazzino!$B$4:$D$987,2))</f>
        <v>40</v>
      </c>
      <c r="E64" s="50" t="s">
        <v>64</v>
      </c>
      <c r="F64" s="51">
        <v>46088.0</v>
      </c>
    </row>
    <row r="65" ht="19.5" customHeight="1">
      <c r="A65" s="2"/>
      <c r="B65" s="52" t="s">
        <v>16</v>
      </c>
      <c r="C65" s="48">
        <v>2.0</v>
      </c>
      <c r="D65" s="49">
        <f>IF(B65="","",VLOOKUP(B65,Magazzino!$B$4:$D$987,2))</f>
        <v>10</v>
      </c>
      <c r="E65" s="50" t="s">
        <v>64</v>
      </c>
      <c r="F65" s="51">
        <v>46088.0</v>
      </c>
    </row>
    <row r="66" ht="19.5" customHeight="1">
      <c r="A66" s="2"/>
      <c r="B66" s="52" t="s">
        <v>47</v>
      </c>
      <c r="C66" s="48">
        <v>1.0</v>
      </c>
      <c r="D66" s="49">
        <f>IF(B66="","",VLOOKUP(B66,Magazzino!$B$4:$D$987,2))</f>
        <v>5</v>
      </c>
      <c r="E66" s="50" t="s">
        <v>64</v>
      </c>
      <c r="F66" s="51">
        <v>46088.0</v>
      </c>
    </row>
    <row r="67" ht="19.5" customHeight="1">
      <c r="A67" s="2"/>
      <c r="B67" s="52" t="s">
        <v>19</v>
      </c>
      <c r="C67" s="48">
        <v>1.0</v>
      </c>
      <c r="D67" s="49">
        <f>IF(B67="","",VLOOKUP(B67,Magazzino!$B$4:$D$987,2))</f>
        <v>3</v>
      </c>
      <c r="E67" s="50" t="s">
        <v>129</v>
      </c>
      <c r="F67" s="51">
        <v>46090.0</v>
      </c>
    </row>
    <row r="68" ht="19.5" customHeight="1">
      <c r="A68" s="2"/>
      <c r="B68" s="52" t="s">
        <v>122</v>
      </c>
      <c r="C68" s="48">
        <v>1.0</v>
      </c>
      <c r="D68" s="49">
        <f>IF(B68="","",VLOOKUP(B68,Magazzino!$B$4:$D$987,2))</f>
        <v>-8</v>
      </c>
      <c r="E68" s="50" t="s">
        <v>129</v>
      </c>
      <c r="F68" s="51">
        <v>46090.0</v>
      </c>
    </row>
    <row r="69" ht="19.5" customHeight="1">
      <c r="A69" s="2"/>
      <c r="B69" s="52" t="s">
        <v>36</v>
      </c>
      <c r="C69" s="48">
        <v>1.0</v>
      </c>
      <c r="D69" s="49">
        <f>IF(B69="","",VLOOKUP(B69,Magazzino!$B$4:$D$987,2))</f>
        <v>1</v>
      </c>
      <c r="E69" s="50" t="s">
        <v>129</v>
      </c>
      <c r="F69" s="51">
        <v>46090.0</v>
      </c>
    </row>
    <row r="70" ht="19.5" customHeight="1">
      <c r="A70" s="2"/>
      <c r="B70" s="52" t="s">
        <v>80</v>
      </c>
      <c r="C70" s="48">
        <v>1.0</v>
      </c>
      <c r="D70" s="49">
        <f>IF(B70="","",VLOOKUP(B70,Magazzino!$B$4:$D$987,2))</f>
        <v>9</v>
      </c>
      <c r="E70" s="50" t="s">
        <v>129</v>
      </c>
      <c r="F70" s="51">
        <v>46090.0</v>
      </c>
    </row>
    <row r="71" ht="19.5" customHeight="1">
      <c r="A71" s="2"/>
      <c r="B71" s="52" t="s">
        <v>119</v>
      </c>
      <c r="C71" s="48">
        <v>1.0</v>
      </c>
      <c r="D71" s="49">
        <f>IF(B71="","",VLOOKUP(B71,Magazzino!$B$4:$D$987,2))</f>
        <v>0</v>
      </c>
      <c r="E71" s="50" t="s">
        <v>129</v>
      </c>
      <c r="F71" s="51">
        <v>46090.0</v>
      </c>
    </row>
    <row r="72" ht="19.5" customHeight="1">
      <c r="A72" s="2"/>
      <c r="B72" s="52" t="s">
        <v>28</v>
      </c>
      <c r="C72" s="48">
        <v>1.0</v>
      </c>
      <c r="D72" s="49">
        <f>IF(B72="","",VLOOKUP(B72,Magazzino!$B$4:$D$987,2))</f>
        <v>40</v>
      </c>
      <c r="E72" s="50" t="s">
        <v>129</v>
      </c>
      <c r="F72" s="51">
        <v>46090.0</v>
      </c>
    </row>
    <row r="73" ht="19.5" customHeight="1">
      <c r="A73" s="2"/>
      <c r="B73" s="52" t="s">
        <v>45</v>
      </c>
      <c r="C73" s="48">
        <v>2.0</v>
      </c>
      <c r="D73" s="49">
        <f>IF(B73="","",VLOOKUP(B73,Magazzino!$B$4:$D$987,2))</f>
        <v>102</v>
      </c>
      <c r="E73" s="50" t="s">
        <v>129</v>
      </c>
      <c r="F73" s="51">
        <v>46090.0</v>
      </c>
    </row>
    <row r="74" ht="19.5" customHeight="1">
      <c r="A74" s="2"/>
      <c r="B74" s="52" t="s">
        <v>179</v>
      </c>
      <c r="C74" s="48">
        <v>1.0</v>
      </c>
      <c r="D74" s="49">
        <f>IF(B74="","",VLOOKUP(B74,Magazzino!$B$4:$D$987,2))</f>
        <v>0</v>
      </c>
      <c r="E74" s="50" t="s">
        <v>129</v>
      </c>
      <c r="F74" s="51">
        <v>46090.0</v>
      </c>
    </row>
    <row r="75" ht="19.5" customHeight="1">
      <c r="A75" s="2"/>
      <c r="B75" s="52" t="s">
        <v>128</v>
      </c>
      <c r="C75" s="48">
        <v>1.0</v>
      </c>
      <c r="D75" s="49">
        <f>IF(B75="","",VLOOKUP(B75,Magazzino!$B$4:$D$987,2))</f>
        <v>5</v>
      </c>
      <c r="E75" s="50" t="s">
        <v>129</v>
      </c>
      <c r="F75" s="51">
        <v>46090.0</v>
      </c>
    </row>
    <row r="76" ht="19.5" customHeight="1">
      <c r="A76" s="2"/>
      <c r="B76" s="52" t="s">
        <v>70</v>
      </c>
      <c r="C76" s="48">
        <v>2.0</v>
      </c>
      <c r="D76" s="49">
        <f>IF(B76="","",VLOOKUP(B76,Magazzino!$B$4:$D$987,2))</f>
        <v>5</v>
      </c>
      <c r="E76" s="50" t="s">
        <v>129</v>
      </c>
      <c r="F76" s="51">
        <v>46090.0</v>
      </c>
    </row>
    <row r="77" ht="19.5" customHeight="1">
      <c r="A77" s="2"/>
      <c r="B77" s="52" t="s">
        <v>15</v>
      </c>
      <c r="C77" s="48">
        <v>2.0</v>
      </c>
      <c r="D77" s="49">
        <f>IF(B77="","",VLOOKUP(B77,Magazzino!$B$4:$D$987,2))</f>
        <v>-2</v>
      </c>
      <c r="E77" s="50" t="s">
        <v>129</v>
      </c>
      <c r="F77" s="51">
        <v>46090.0</v>
      </c>
    </row>
    <row r="78" ht="19.5" customHeight="1">
      <c r="A78" s="2"/>
      <c r="B78" s="52" t="s">
        <v>60</v>
      </c>
      <c r="C78" s="48">
        <v>1.0</v>
      </c>
      <c r="D78" s="49">
        <f>IF(B78="","",VLOOKUP(B78,Magazzino!$B$4:$D$987,2))</f>
        <v>6</v>
      </c>
      <c r="E78" s="50" t="s">
        <v>185</v>
      </c>
      <c r="F78" s="51">
        <v>46090.0</v>
      </c>
    </row>
    <row r="79" ht="19.5" customHeight="1">
      <c r="A79" s="2"/>
      <c r="B79" s="52" t="s">
        <v>186</v>
      </c>
      <c r="C79" s="48">
        <v>1.0</v>
      </c>
      <c r="D79" s="49">
        <f>IF(B79="","",VLOOKUP(B79,Magazzino!$B$4:$D$987,2))</f>
        <v>40</v>
      </c>
      <c r="E79" s="50" t="s">
        <v>187</v>
      </c>
      <c r="F79" s="51">
        <v>46090.0</v>
      </c>
    </row>
    <row r="80" ht="19.5" customHeight="1">
      <c r="A80" s="2"/>
      <c r="B80" s="52" t="s">
        <v>118</v>
      </c>
      <c r="C80" s="48">
        <v>1.0</v>
      </c>
      <c r="D80" s="49">
        <f>IF(B80="","",VLOOKUP(B80,Magazzino!$B$4:$D$987,2))</f>
        <v>-2</v>
      </c>
      <c r="E80" s="50" t="s">
        <v>187</v>
      </c>
      <c r="F80" s="51">
        <v>46090.0</v>
      </c>
    </row>
    <row r="81" ht="19.5" customHeight="1">
      <c r="A81" s="2"/>
      <c r="B81" s="52" t="s">
        <v>36</v>
      </c>
      <c r="C81" s="48">
        <v>1.0</v>
      </c>
      <c r="D81" s="49">
        <f>IF(B81="","",VLOOKUP(B81,Magazzino!$B$4:$D$987,2))</f>
        <v>1</v>
      </c>
      <c r="E81" s="50" t="s">
        <v>187</v>
      </c>
      <c r="F81" s="51">
        <v>46090.0</v>
      </c>
    </row>
    <row r="82" ht="19.5" customHeight="1">
      <c r="A82" s="2"/>
      <c r="B82" s="52" t="s">
        <v>56</v>
      </c>
      <c r="C82" s="48">
        <v>1.0</v>
      </c>
      <c r="D82" s="49">
        <f>IF(B82="","",VLOOKUP(B82,Magazzino!$B$4:$D$987,2))</f>
        <v>-2</v>
      </c>
      <c r="E82" s="50" t="s">
        <v>64</v>
      </c>
      <c r="F82" s="51">
        <v>46091.0</v>
      </c>
    </row>
    <row r="83" ht="19.5" customHeight="1">
      <c r="A83" s="2"/>
      <c r="B83" s="52" t="s">
        <v>164</v>
      </c>
      <c r="C83" s="48">
        <v>1.0</v>
      </c>
      <c r="D83" s="49">
        <f>IF(B83="","",VLOOKUP(B83,Magazzino!$B$4:$D$987,2))</f>
        <v>-2</v>
      </c>
      <c r="E83" s="50" t="s">
        <v>64</v>
      </c>
      <c r="F83" s="51">
        <v>46091.0</v>
      </c>
    </row>
    <row r="84" ht="19.5" customHeight="1">
      <c r="A84" s="2"/>
      <c r="B84" s="52" t="s">
        <v>80</v>
      </c>
      <c r="C84" s="48">
        <v>1.0</v>
      </c>
      <c r="D84" s="49">
        <f>IF(B84="","",VLOOKUP(B84,Magazzino!$B$4:$D$987,2))</f>
        <v>9</v>
      </c>
      <c r="E84" s="50" t="s">
        <v>64</v>
      </c>
      <c r="F84" s="51">
        <v>46091.0</v>
      </c>
    </row>
    <row r="85" ht="19.5" customHeight="1">
      <c r="A85" s="2"/>
      <c r="B85" s="52" t="s">
        <v>66</v>
      </c>
      <c r="C85" s="48">
        <v>4.0</v>
      </c>
      <c r="D85" s="49">
        <f>IF(B85="","",VLOOKUP(B85,Magazzino!$B$4:$D$987,2))</f>
        <v>-2</v>
      </c>
      <c r="E85" s="50" t="s">
        <v>64</v>
      </c>
      <c r="F85" s="51">
        <v>46091.0</v>
      </c>
    </row>
    <row r="86" ht="19.5" customHeight="1">
      <c r="A86" s="2"/>
      <c r="B86" s="52" t="s">
        <v>135</v>
      </c>
      <c r="C86" s="48">
        <v>1.0</v>
      </c>
      <c r="D86" s="49">
        <f>IF(B86="","",VLOOKUP(B86,Magazzino!$B$4:$D$987,2))</f>
        <v>12</v>
      </c>
      <c r="E86" s="50" t="s">
        <v>64</v>
      </c>
      <c r="F86" s="51">
        <v>46091.0</v>
      </c>
    </row>
    <row r="87" ht="19.5" customHeight="1">
      <c r="A87" s="2"/>
      <c r="B87" s="52" t="s">
        <v>77</v>
      </c>
      <c r="C87" s="48">
        <v>1.0</v>
      </c>
      <c r="D87" s="49">
        <f>IF(B87="","",VLOOKUP(B87,Magazzino!$B$4:$D$987,2))</f>
        <v>42</v>
      </c>
      <c r="E87" s="50" t="s">
        <v>111</v>
      </c>
      <c r="F87" s="51">
        <v>46091.0</v>
      </c>
    </row>
    <row r="88" ht="19.5" customHeight="1">
      <c r="A88" s="2"/>
      <c r="B88" s="52" t="s">
        <v>28</v>
      </c>
      <c r="C88" s="48">
        <v>1.0</v>
      </c>
      <c r="D88" s="49">
        <f>IF(B88="","",VLOOKUP(B88,Magazzino!$B$4:$D$987,2))</f>
        <v>40</v>
      </c>
      <c r="E88" s="50" t="s">
        <v>194</v>
      </c>
      <c r="F88" s="51">
        <v>46091.0</v>
      </c>
    </row>
    <row r="89" ht="19.5" customHeight="1">
      <c r="A89" s="2"/>
      <c r="B89" s="52" t="s">
        <v>179</v>
      </c>
      <c r="C89" s="48">
        <v>1.0</v>
      </c>
      <c r="D89" s="49">
        <f>IF(B89="","",VLOOKUP(B89,Magazzino!$B$4:$D$987,2))</f>
        <v>0</v>
      </c>
      <c r="E89" s="50" t="s">
        <v>129</v>
      </c>
      <c r="F89" s="53">
        <v>46093.0</v>
      </c>
    </row>
    <row r="90" ht="19.5" customHeight="1">
      <c r="A90" s="2"/>
      <c r="B90" s="52" t="s">
        <v>149</v>
      </c>
      <c r="C90" s="48">
        <v>3.0</v>
      </c>
      <c r="D90" s="49">
        <f>IF(B90="","",VLOOKUP(B90,Magazzino!$B$4:$D$987,2))</f>
        <v>11</v>
      </c>
      <c r="E90" s="50" t="s">
        <v>199</v>
      </c>
      <c r="F90" s="53">
        <v>46093.0</v>
      </c>
    </row>
    <row r="91" ht="19.5" customHeight="1">
      <c r="A91" s="2"/>
      <c r="B91" s="52" t="s">
        <v>200</v>
      </c>
      <c r="C91" s="48">
        <v>1.0</v>
      </c>
      <c r="D91" s="49">
        <f>IF(B91="","",VLOOKUP(B91,Magazzino!$B$4:$D$987,2))</f>
        <v>12</v>
      </c>
      <c r="E91" s="50" t="s">
        <v>111</v>
      </c>
      <c r="F91" s="53">
        <v>46093.0</v>
      </c>
    </row>
    <row r="92" ht="19.5" customHeight="1">
      <c r="A92" s="2"/>
      <c r="B92" s="52" t="s">
        <v>149</v>
      </c>
      <c r="C92" s="48">
        <v>1.0</v>
      </c>
      <c r="D92" s="49">
        <f>IF(B92="","",VLOOKUP(B92,Magazzino!$B$4:$D$987,2))</f>
        <v>11</v>
      </c>
      <c r="E92" s="50" t="s">
        <v>199</v>
      </c>
      <c r="F92" s="53">
        <v>46094.0</v>
      </c>
    </row>
    <row r="93" ht="19.5" customHeight="1">
      <c r="A93" s="2"/>
      <c r="B93" s="52" t="s">
        <v>120</v>
      </c>
      <c r="C93" s="48">
        <v>4.0</v>
      </c>
      <c r="D93" s="49">
        <f>IF(B93="","",VLOOKUP(B93,Magazzino!$B$4:$D$987,2))</f>
        <v>24</v>
      </c>
      <c r="E93" s="50" t="s">
        <v>64</v>
      </c>
      <c r="F93" s="53">
        <v>46094.0</v>
      </c>
    </row>
    <row r="94" ht="19.5" customHeight="1">
      <c r="A94" s="2"/>
      <c r="B94" s="52" t="s">
        <v>21</v>
      </c>
      <c r="C94" s="48">
        <v>4.0</v>
      </c>
      <c r="D94" s="49">
        <f>IF(B94="","",VLOOKUP(B94,Magazzino!$B$4:$D$987,2))</f>
        <v>75</v>
      </c>
      <c r="E94" s="50" t="s">
        <v>64</v>
      </c>
      <c r="F94" s="53">
        <v>46094.0</v>
      </c>
    </row>
    <row r="95" ht="19.5" customHeight="1">
      <c r="A95" s="2"/>
      <c r="B95" s="52" t="s">
        <v>53</v>
      </c>
      <c r="C95" s="48">
        <v>4.0</v>
      </c>
      <c r="D95" s="49">
        <f>IF(B95="","",VLOOKUP(B95,Magazzino!$B$4:$D$987,2))</f>
        <v>24</v>
      </c>
      <c r="E95" s="50" t="s">
        <v>64</v>
      </c>
      <c r="F95" s="53">
        <v>46094.0</v>
      </c>
    </row>
    <row r="96" ht="19.5" customHeight="1">
      <c r="A96" s="2"/>
      <c r="B96" s="52" t="s">
        <v>38</v>
      </c>
      <c r="C96" s="48">
        <v>4.0</v>
      </c>
      <c r="D96" s="49">
        <f>IF(B96="","",VLOOKUP(B96,Magazzino!$B$4:$D$987,2))</f>
        <v>12</v>
      </c>
      <c r="E96" s="50" t="s">
        <v>64</v>
      </c>
      <c r="F96" s="53">
        <v>46094.0</v>
      </c>
    </row>
    <row r="97" ht="19.5" customHeight="1">
      <c r="A97" s="2"/>
      <c r="B97" s="52" t="s">
        <v>28</v>
      </c>
      <c r="C97" s="48">
        <v>1.0</v>
      </c>
      <c r="D97" s="49">
        <f>IF(B97="","",VLOOKUP(B97,Magazzino!$B$4:$D$987,2))</f>
        <v>40</v>
      </c>
      <c r="E97" s="50" t="s">
        <v>207</v>
      </c>
      <c r="F97" s="53">
        <v>46094.0</v>
      </c>
    </row>
    <row r="98" ht="19.5" customHeight="1">
      <c r="A98" s="2"/>
      <c r="B98" s="52" t="s">
        <v>119</v>
      </c>
      <c r="C98" s="48">
        <v>2.0</v>
      </c>
      <c r="D98" s="49">
        <f>IF(B98="","",VLOOKUP(B98,Magazzino!$B$4:$D$987,2))</f>
        <v>0</v>
      </c>
      <c r="E98" s="50" t="s">
        <v>64</v>
      </c>
      <c r="F98" s="53">
        <v>46095.0</v>
      </c>
    </row>
    <row r="99" ht="19.5" customHeight="1">
      <c r="A99" s="2"/>
      <c r="B99" s="52" t="s">
        <v>47</v>
      </c>
      <c r="C99" s="48">
        <v>2.0</v>
      </c>
      <c r="D99" s="49">
        <f>IF(B99="","",VLOOKUP(B99,Magazzino!$B$4:$D$987,2))</f>
        <v>5</v>
      </c>
      <c r="E99" s="50" t="s">
        <v>64</v>
      </c>
      <c r="F99" s="53">
        <v>46095.0</v>
      </c>
    </row>
    <row r="100" ht="19.5" customHeight="1">
      <c r="A100" s="2"/>
      <c r="B100" s="52" t="s">
        <v>80</v>
      </c>
      <c r="C100" s="48">
        <v>1.0</v>
      </c>
      <c r="D100" s="49">
        <f>IF(B100="","",VLOOKUP(B100,Magazzino!$B$4:$D$987,2))</f>
        <v>9</v>
      </c>
      <c r="E100" s="50" t="s">
        <v>64</v>
      </c>
      <c r="F100" s="53">
        <v>46095.0</v>
      </c>
    </row>
    <row r="101" ht="19.5" customHeight="1">
      <c r="A101" s="2"/>
      <c r="B101" s="52" t="s">
        <v>51</v>
      </c>
      <c r="C101" s="48">
        <v>2.0</v>
      </c>
      <c r="D101" s="49">
        <f>IF(B101="","",VLOOKUP(B101,Magazzino!$B$4:$D$987,2))</f>
        <v>-2</v>
      </c>
      <c r="E101" s="50" t="s">
        <v>64</v>
      </c>
      <c r="F101" s="53">
        <v>46095.0</v>
      </c>
    </row>
    <row r="102" ht="19.5" customHeight="1">
      <c r="A102" s="2"/>
      <c r="B102" s="52" t="s">
        <v>56</v>
      </c>
      <c r="C102" s="48">
        <v>2.0</v>
      </c>
      <c r="D102" s="49">
        <f>IF(B102="","",VLOOKUP(B102,Magazzino!$B$4:$D$987,2))</f>
        <v>-2</v>
      </c>
      <c r="E102" s="50" t="s">
        <v>64</v>
      </c>
      <c r="F102" s="53">
        <v>46095.0</v>
      </c>
    </row>
    <row r="103" ht="19.5" customHeight="1">
      <c r="A103" s="2"/>
      <c r="B103" s="52" t="s">
        <v>164</v>
      </c>
      <c r="C103" s="48">
        <v>2.0</v>
      </c>
      <c r="D103" s="49">
        <f>IF(B103="","",VLOOKUP(B103,Magazzino!$B$4:$D$987,2))</f>
        <v>-2</v>
      </c>
      <c r="E103" s="50" t="s">
        <v>64</v>
      </c>
      <c r="F103" s="53">
        <v>46095.0</v>
      </c>
    </row>
    <row r="104" ht="19.5" customHeight="1">
      <c r="A104" s="2"/>
      <c r="B104" s="52" t="s">
        <v>28</v>
      </c>
      <c r="C104" s="48">
        <v>2.0</v>
      </c>
      <c r="D104" s="49">
        <f>IF(B104="","",VLOOKUP(B104,Magazzino!$B$4:$D$987,2))</f>
        <v>40</v>
      </c>
      <c r="E104" s="50" t="s">
        <v>64</v>
      </c>
      <c r="F104" s="53">
        <v>46095.0</v>
      </c>
    </row>
    <row r="105" ht="19.5" customHeight="1">
      <c r="A105" s="2"/>
      <c r="B105" s="52" t="s">
        <v>150</v>
      </c>
      <c r="C105" s="48">
        <v>1.0</v>
      </c>
      <c r="D105" s="49">
        <f>IF(B105="","",VLOOKUP(B105,Magazzino!$B$4:$D$987,2))</f>
        <v>1</v>
      </c>
      <c r="E105" s="50" t="s">
        <v>214</v>
      </c>
      <c r="F105" s="53">
        <v>46097.0</v>
      </c>
    </row>
    <row r="106" ht="19.5" customHeight="1">
      <c r="A106" s="2"/>
      <c r="B106" s="52" t="s">
        <v>44</v>
      </c>
      <c r="C106" s="48">
        <v>2.0</v>
      </c>
      <c r="D106" s="49">
        <f>IF(B106="","",VLOOKUP(B106,Magazzino!$B$4:$D$987,2))</f>
        <v>16</v>
      </c>
      <c r="E106" s="50" t="s">
        <v>64</v>
      </c>
      <c r="F106" s="53">
        <v>46097.0</v>
      </c>
    </row>
    <row r="107" ht="19.5" customHeight="1">
      <c r="A107" s="2"/>
      <c r="B107" s="52" t="s">
        <v>121</v>
      </c>
      <c r="C107" s="48">
        <v>1.0</v>
      </c>
      <c r="D107" s="49">
        <f>IF(B107="","",VLOOKUP(B107,Magazzino!$B$4:$D$987,2))</f>
        <v>11</v>
      </c>
      <c r="E107" s="50" t="s">
        <v>64</v>
      </c>
      <c r="F107" s="53">
        <v>46097.0</v>
      </c>
    </row>
    <row r="108" ht="19.5" customHeight="1">
      <c r="A108" s="2"/>
      <c r="B108" s="52" t="s">
        <v>218</v>
      </c>
      <c r="C108" s="48">
        <v>2.0</v>
      </c>
      <c r="D108" s="49">
        <f>IF(B108="","",VLOOKUP(B108,Magazzino!$B$4:$D$987,2))</f>
        <v>0</v>
      </c>
      <c r="E108" s="50" t="s">
        <v>64</v>
      </c>
      <c r="F108" s="53">
        <v>46097.0</v>
      </c>
    </row>
    <row r="109" ht="19.5" customHeight="1">
      <c r="A109" s="2"/>
      <c r="B109" s="52" t="s">
        <v>73</v>
      </c>
      <c r="C109" s="48">
        <v>1.0</v>
      </c>
      <c r="D109" s="49">
        <f>IF(B109="","",VLOOKUP(B109,Magazzino!$B$4:$D$987,2))</f>
        <v>9</v>
      </c>
      <c r="E109" s="50" t="s">
        <v>64</v>
      </c>
      <c r="F109" s="53">
        <v>46097.0</v>
      </c>
    </row>
    <row r="110" ht="19.5" customHeight="1">
      <c r="A110" s="2"/>
      <c r="B110" s="52" t="s">
        <v>85</v>
      </c>
      <c r="C110" s="48">
        <v>2.0</v>
      </c>
      <c r="D110" s="49">
        <f>IF(B110="","",VLOOKUP(B110,Magazzino!$B$4:$D$987,2))</f>
        <v>-2</v>
      </c>
      <c r="E110" s="50" t="s">
        <v>64</v>
      </c>
      <c r="F110" s="53">
        <v>46097.0</v>
      </c>
    </row>
    <row r="111" ht="19.5" customHeight="1">
      <c r="A111" s="2"/>
      <c r="B111" s="52" t="s">
        <v>77</v>
      </c>
      <c r="C111" s="48">
        <v>1.0</v>
      </c>
      <c r="D111" s="49">
        <f>IF(B111="","",VLOOKUP(B111,Magazzino!$B$4:$D$987,2))</f>
        <v>42</v>
      </c>
      <c r="E111" s="50" t="s">
        <v>64</v>
      </c>
      <c r="F111" s="53">
        <v>46099.0</v>
      </c>
    </row>
    <row r="112" ht="19.5" customHeight="1">
      <c r="A112" s="2"/>
      <c r="B112" s="52" t="s">
        <v>40</v>
      </c>
      <c r="C112" s="48">
        <v>1.0</v>
      </c>
      <c r="D112" s="49">
        <f>IF(B112="","",VLOOKUP(B112,Magazzino!$B$4:$D$987,2))</f>
        <v>17</v>
      </c>
      <c r="E112" s="50" t="s">
        <v>129</v>
      </c>
      <c r="F112" s="53">
        <v>46100.0</v>
      </c>
    </row>
    <row r="113" ht="19.5" customHeight="1">
      <c r="A113" s="2"/>
      <c r="B113" s="52" t="s">
        <v>41</v>
      </c>
      <c r="C113" s="48">
        <v>1.0</v>
      </c>
      <c r="D113" s="49">
        <f>IF(B113="","",VLOOKUP(B113,Magazzino!$B$4:$D$987,2))</f>
        <v>5</v>
      </c>
      <c r="E113" s="50" t="s">
        <v>129</v>
      </c>
      <c r="F113" s="53">
        <v>46100.0</v>
      </c>
    </row>
    <row r="114" ht="19.5" customHeight="1">
      <c r="A114" s="2"/>
      <c r="B114" s="52" t="s">
        <v>138</v>
      </c>
      <c r="C114" s="48">
        <v>1.0</v>
      </c>
      <c r="D114" s="49">
        <f>IF(B114="","",VLOOKUP(B114,Magazzino!$B$4:$D$987,2))</f>
        <v>4</v>
      </c>
      <c r="E114" s="50" t="s">
        <v>129</v>
      </c>
      <c r="F114" s="53">
        <v>46100.0</v>
      </c>
    </row>
    <row r="115" ht="19.5" customHeight="1">
      <c r="A115" s="2"/>
      <c r="B115" s="52" t="s">
        <v>119</v>
      </c>
      <c r="C115" s="48">
        <v>1.0</v>
      </c>
      <c r="D115" s="49">
        <f>IF(B115="","",VLOOKUP(B115,Magazzino!$B$4:$D$987,2))</f>
        <v>0</v>
      </c>
      <c r="E115" s="50" t="s">
        <v>129</v>
      </c>
      <c r="F115" s="53">
        <v>46100.0</v>
      </c>
    </row>
    <row r="116" ht="19.5" customHeight="1">
      <c r="A116" s="2"/>
      <c r="B116" s="52" t="s">
        <v>80</v>
      </c>
      <c r="C116" s="48">
        <v>1.0</v>
      </c>
      <c r="D116" s="49">
        <f>IF(B116="","",VLOOKUP(B116,Magazzino!$B$4:$D$987,2))</f>
        <v>9</v>
      </c>
      <c r="E116" s="50" t="s">
        <v>129</v>
      </c>
      <c r="F116" s="53">
        <v>46100.0</v>
      </c>
    </row>
    <row r="117" ht="19.5" customHeight="1">
      <c r="A117" s="2"/>
      <c r="B117" s="52" t="s">
        <v>22</v>
      </c>
      <c r="C117" s="48">
        <v>1.0</v>
      </c>
      <c r="D117" s="49">
        <f>IF(B117="","",VLOOKUP(B117,Magazzino!$B$4:$D$987,2))</f>
        <v>5</v>
      </c>
      <c r="E117" s="50" t="s">
        <v>129</v>
      </c>
      <c r="F117" s="53">
        <v>46100.0</v>
      </c>
    </row>
    <row r="118" ht="19.5" customHeight="1">
      <c r="A118" s="2"/>
      <c r="B118" s="52" t="s">
        <v>134</v>
      </c>
      <c r="C118" s="48">
        <v>1.0</v>
      </c>
      <c r="D118" s="49">
        <f>IF(B118="","",VLOOKUP(B118,Magazzino!$B$4:$D$987,2))</f>
        <v>30</v>
      </c>
      <c r="E118" s="50" t="s">
        <v>129</v>
      </c>
      <c r="F118" s="53">
        <v>46100.0</v>
      </c>
    </row>
    <row r="119" ht="19.5" customHeight="1">
      <c r="A119" s="2"/>
      <c r="B119" s="52" t="s">
        <v>130</v>
      </c>
      <c r="C119" s="48">
        <v>1.0</v>
      </c>
      <c r="D119" s="49">
        <f>IF(B119="","",VLOOKUP(B119,Magazzino!$B$4:$D$987,2))</f>
        <v>-2</v>
      </c>
      <c r="E119" s="50" t="s">
        <v>129</v>
      </c>
      <c r="F119" s="53">
        <v>46100.0</v>
      </c>
    </row>
    <row r="120" ht="19.5" customHeight="1">
      <c r="A120" s="2"/>
      <c r="B120" s="52" t="s">
        <v>19</v>
      </c>
      <c r="C120" s="48">
        <v>1.0</v>
      </c>
      <c r="D120" s="49">
        <f>IF(B120="","",VLOOKUP(B120,Magazzino!$B$4:$D$987,2))</f>
        <v>3</v>
      </c>
      <c r="E120" s="50" t="s">
        <v>129</v>
      </c>
      <c r="F120" s="53">
        <v>46100.0</v>
      </c>
    </row>
    <row r="121" ht="19.5" customHeight="1">
      <c r="A121" s="2"/>
      <c r="B121" s="52" t="s">
        <v>178</v>
      </c>
      <c r="C121" s="48">
        <v>1.0</v>
      </c>
      <c r="D121" s="49">
        <f>IF(B121="","",VLOOKUP(B121,Magazzino!$B$4:$D$987,2))</f>
        <v>-3</v>
      </c>
      <c r="E121" s="50" t="s">
        <v>64</v>
      </c>
      <c r="F121" s="53">
        <v>46100.0</v>
      </c>
    </row>
    <row r="122" ht="19.5" customHeight="1">
      <c r="A122" s="2"/>
      <c r="B122" s="52" t="s">
        <v>77</v>
      </c>
      <c r="C122" s="48">
        <v>1.0</v>
      </c>
      <c r="D122" s="49">
        <f>IF(B122="","",VLOOKUP(B122,Magazzino!$B$4:$D$987,2))</f>
        <v>42</v>
      </c>
      <c r="E122" s="50" t="s">
        <v>64</v>
      </c>
      <c r="F122" s="53">
        <v>46100.0</v>
      </c>
    </row>
    <row r="123" ht="19.5" customHeight="1">
      <c r="A123" s="2"/>
      <c r="B123" s="52" t="s">
        <v>186</v>
      </c>
      <c r="C123" s="48">
        <v>1.0</v>
      </c>
      <c r="D123" s="49">
        <f>IF(B123="","",VLOOKUP(B123,Magazzino!$B$4:$D$987,2))</f>
        <v>40</v>
      </c>
      <c r="E123" s="50" t="s">
        <v>64</v>
      </c>
      <c r="F123" s="53">
        <v>46100.0</v>
      </c>
    </row>
    <row r="124" ht="19.5" customHeight="1">
      <c r="A124" s="2"/>
      <c r="B124" s="52" t="s">
        <v>101</v>
      </c>
      <c r="C124" s="48">
        <v>1.0</v>
      </c>
      <c r="D124" s="49">
        <f>IF(B124="","",VLOOKUP(B124,Magazzino!$B$4:$D$987,2))</f>
        <v>9</v>
      </c>
      <c r="E124" s="50" t="s">
        <v>64</v>
      </c>
      <c r="F124" s="53">
        <v>46100.0</v>
      </c>
    </row>
    <row r="125" ht="19.5" customHeight="1">
      <c r="A125" s="2"/>
      <c r="B125" s="52" t="s">
        <v>231</v>
      </c>
      <c r="C125" s="48">
        <v>3.0</v>
      </c>
      <c r="D125" s="49">
        <f>IF(B125="","",VLOOKUP(B125,Magazzino!$B$4:$D$987,2))</f>
        <v>5</v>
      </c>
      <c r="E125" s="50" t="s">
        <v>233</v>
      </c>
      <c r="F125" s="53">
        <v>46100.0</v>
      </c>
    </row>
    <row r="126" ht="19.5" customHeight="1">
      <c r="A126" s="2"/>
      <c r="B126" s="52" t="s">
        <v>149</v>
      </c>
      <c r="C126" s="48">
        <v>4.0</v>
      </c>
      <c r="D126" s="49">
        <f>IF(B126="","",VLOOKUP(B126,Magazzino!$B$4:$D$987,2))</f>
        <v>11</v>
      </c>
      <c r="E126" s="50" t="s">
        <v>111</v>
      </c>
      <c r="F126" s="53">
        <v>46100.0</v>
      </c>
    </row>
    <row r="127" ht="19.5" customHeight="1">
      <c r="A127" s="2"/>
      <c r="B127" s="52" t="s">
        <v>193</v>
      </c>
      <c r="C127" s="48">
        <v>1.0</v>
      </c>
      <c r="D127" s="49">
        <f>IF(B127="","",VLOOKUP(B127,Magazzino!$B$4:$D$987,2))</f>
        <v>9</v>
      </c>
      <c r="E127" s="50" t="s">
        <v>111</v>
      </c>
      <c r="F127" s="53">
        <v>46100.0</v>
      </c>
    </row>
    <row r="128" ht="19.5" customHeight="1">
      <c r="A128" s="2"/>
      <c r="B128" s="52" t="s">
        <v>186</v>
      </c>
      <c r="C128" s="48">
        <v>1.0</v>
      </c>
      <c r="D128" s="49">
        <f>IF(B128="","",VLOOKUP(B128,Magazzino!$B$4:$D$987,2))</f>
        <v>40</v>
      </c>
      <c r="E128" s="50" t="s">
        <v>194</v>
      </c>
      <c r="F128" s="53">
        <v>46101.0</v>
      </c>
    </row>
    <row r="129" ht="19.5" customHeight="1">
      <c r="A129" s="2"/>
      <c r="B129" s="52" t="s">
        <v>119</v>
      </c>
      <c r="C129" s="48">
        <v>1.0</v>
      </c>
      <c r="D129" s="49">
        <f>IF(B129="","",VLOOKUP(B129,Magazzino!$B$4:$D$987,2))</f>
        <v>0</v>
      </c>
      <c r="E129" s="50" t="s">
        <v>64</v>
      </c>
      <c r="F129" s="53">
        <v>46102.0</v>
      </c>
    </row>
    <row r="130" ht="19.5" customHeight="1">
      <c r="A130" s="2"/>
      <c r="B130" s="52" t="s">
        <v>121</v>
      </c>
      <c r="C130" s="48">
        <v>1.0</v>
      </c>
      <c r="D130" s="49">
        <f>IF(B130="","",VLOOKUP(B130,Magazzino!$B$4:$D$987,2))</f>
        <v>11</v>
      </c>
      <c r="E130" s="50" t="s">
        <v>64</v>
      </c>
      <c r="F130" s="53">
        <v>46102.0</v>
      </c>
    </row>
    <row r="131" ht="19.5" customHeight="1">
      <c r="A131" s="2"/>
      <c r="B131" s="52" t="s">
        <v>236</v>
      </c>
      <c r="C131" s="48">
        <v>2.0</v>
      </c>
      <c r="D131" s="49">
        <f>IF(B131="","",VLOOKUP(B131,Magazzino!$B$4:$D$987,2))</f>
        <v>-2</v>
      </c>
      <c r="E131" s="50" t="s">
        <v>64</v>
      </c>
      <c r="F131" s="53">
        <v>46102.0</v>
      </c>
    </row>
    <row r="132" ht="19.5" customHeight="1">
      <c r="A132" s="2"/>
      <c r="B132" s="52" t="s">
        <v>51</v>
      </c>
      <c r="C132" s="48">
        <v>2.0</v>
      </c>
      <c r="D132" s="49">
        <f>IF(B132="","",VLOOKUP(B132,Magazzino!$B$4:$D$987,2))</f>
        <v>-2</v>
      </c>
      <c r="E132" s="50" t="s">
        <v>64</v>
      </c>
      <c r="F132" s="53">
        <v>46102.0</v>
      </c>
    </row>
    <row r="133" ht="19.5" customHeight="1">
      <c r="A133" s="2"/>
      <c r="B133" s="52" t="s">
        <v>54</v>
      </c>
      <c r="C133" s="48">
        <v>2.0</v>
      </c>
      <c r="D133" s="49">
        <f>IF(B133="","",VLOOKUP(B133,Magazzino!$B$4:$D$987,2))</f>
        <v>-2</v>
      </c>
      <c r="E133" s="50" t="s">
        <v>64</v>
      </c>
      <c r="F133" s="53">
        <v>46102.0</v>
      </c>
    </row>
    <row r="134" ht="19.5" customHeight="1">
      <c r="A134" s="2"/>
      <c r="B134" s="52" t="s">
        <v>28</v>
      </c>
      <c r="C134" s="48">
        <v>1.0</v>
      </c>
      <c r="D134" s="49">
        <f>IF(B134="","",VLOOKUP(B134,Magazzino!$B$4:$D$987,2))</f>
        <v>40</v>
      </c>
      <c r="E134" s="50" t="s">
        <v>64</v>
      </c>
      <c r="F134" s="53">
        <v>46102.0</v>
      </c>
    </row>
    <row r="135" ht="19.5" customHeight="1">
      <c r="A135" s="2"/>
      <c r="B135" s="52" t="s">
        <v>59</v>
      </c>
      <c r="C135" s="48">
        <v>2.0</v>
      </c>
      <c r="D135" s="49">
        <f>IF(B135="","",VLOOKUP(B135,Magazzino!$B$4:$D$987,2))</f>
        <v>27</v>
      </c>
      <c r="E135" s="50" t="s">
        <v>64</v>
      </c>
      <c r="F135" s="53">
        <v>46104.0</v>
      </c>
    </row>
    <row r="136" ht="19.5" customHeight="1">
      <c r="A136" s="2"/>
      <c r="B136" s="52" t="s">
        <v>21</v>
      </c>
      <c r="C136" s="48">
        <v>4.0</v>
      </c>
      <c r="D136" s="49">
        <f>IF(B136="","",VLOOKUP(B136,Magazzino!$B$4:$D$987,2))</f>
        <v>75</v>
      </c>
      <c r="E136" s="50" t="s">
        <v>64</v>
      </c>
      <c r="F136" s="53">
        <v>46104.0</v>
      </c>
    </row>
    <row r="137" ht="19.5" customHeight="1">
      <c r="A137" s="2"/>
      <c r="B137" s="52" t="s">
        <v>126</v>
      </c>
      <c r="C137" s="48">
        <v>1.0</v>
      </c>
      <c r="D137" s="49">
        <f>IF(B137="","",VLOOKUP(B137,Magazzino!$B$4:$D$987,2))</f>
        <v>2</v>
      </c>
      <c r="E137" s="50" t="s">
        <v>64</v>
      </c>
      <c r="F137" s="53">
        <v>46104.0</v>
      </c>
    </row>
    <row r="138" ht="19.5" customHeight="1">
      <c r="A138" s="2"/>
      <c r="B138" s="52" t="s">
        <v>28</v>
      </c>
      <c r="C138" s="48">
        <v>1.0</v>
      </c>
      <c r="D138" s="49">
        <f>IF(B138="","",VLOOKUP(B138,Magazzino!$B$4:$D$987,2))</f>
        <v>40</v>
      </c>
      <c r="E138" s="50" t="s">
        <v>194</v>
      </c>
      <c r="F138" s="53">
        <v>46105.0</v>
      </c>
    </row>
    <row r="139" ht="19.5" customHeight="1">
      <c r="A139" s="2"/>
      <c r="B139" s="52" t="s">
        <v>66</v>
      </c>
      <c r="C139" s="48">
        <v>4.0</v>
      </c>
      <c r="D139" s="49">
        <f>IF(B139="","",VLOOKUP(B139,Magazzino!$B$4:$D$987,2))</f>
        <v>-2</v>
      </c>
      <c r="E139" s="50" t="s">
        <v>64</v>
      </c>
      <c r="F139" s="53">
        <v>46105.0</v>
      </c>
    </row>
    <row r="140" ht="19.5" customHeight="1">
      <c r="A140" s="2"/>
      <c r="B140" s="52" t="s">
        <v>16</v>
      </c>
      <c r="C140" s="48">
        <v>2.0</v>
      </c>
      <c r="D140" s="49">
        <f>IF(B140="","",VLOOKUP(B140,Magazzino!$B$4:$D$987,2))</f>
        <v>10</v>
      </c>
      <c r="E140" s="50" t="s">
        <v>64</v>
      </c>
      <c r="F140" s="53">
        <v>46105.0</v>
      </c>
    </row>
    <row r="141" ht="19.5" customHeight="1">
      <c r="A141" s="2"/>
      <c r="B141" s="52" t="s">
        <v>124</v>
      </c>
      <c r="C141" s="48">
        <v>1.0</v>
      </c>
      <c r="D141" s="49">
        <f>IF(B141="","",VLOOKUP(B141,Magazzino!$B$4:$D$987,2))</f>
        <v>9</v>
      </c>
      <c r="E141" s="50" t="s">
        <v>64</v>
      </c>
      <c r="F141" s="53">
        <v>46105.0</v>
      </c>
    </row>
    <row r="142" ht="19.5" customHeight="1">
      <c r="A142" s="2"/>
      <c r="B142" s="52" t="s">
        <v>99</v>
      </c>
      <c r="C142" s="48">
        <v>1.0</v>
      </c>
      <c r="D142" s="49">
        <f>IF(B142="","",VLOOKUP(B142,Magazzino!$B$4:$D$987,2))</f>
        <v>-2</v>
      </c>
      <c r="E142" s="50" t="s">
        <v>64</v>
      </c>
      <c r="F142" s="53">
        <v>46105.0</v>
      </c>
    </row>
    <row r="143" ht="19.5" customHeight="1">
      <c r="A143" s="2"/>
      <c r="B143" s="52" t="s">
        <v>19</v>
      </c>
      <c r="C143" s="48">
        <v>1.0</v>
      </c>
      <c r="D143" s="49">
        <f>IF(B143="","",VLOOKUP(B143,Magazzino!$B$4:$D$987,2))</f>
        <v>3</v>
      </c>
      <c r="E143" s="50" t="s">
        <v>129</v>
      </c>
      <c r="F143" s="53">
        <v>46107.0</v>
      </c>
    </row>
    <row r="144" ht="19.5" customHeight="1">
      <c r="A144" s="2"/>
      <c r="B144" s="52" t="s">
        <v>22</v>
      </c>
      <c r="C144" s="48">
        <v>2.0</v>
      </c>
      <c r="D144" s="49">
        <f>IF(B144="","",VLOOKUP(B144,Magazzino!$B$4:$D$987,2))</f>
        <v>5</v>
      </c>
      <c r="E144" s="50" t="s">
        <v>129</v>
      </c>
      <c r="F144" s="53">
        <v>46107.0</v>
      </c>
    </row>
    <row r="145" ht="19.5" customHeight="1">
      <c r="A145" s="2"/>
      <c r="B145" s="52" t="s">
        <v>45</v>
      </c>
      <c r="C145" s="48">
        <v>2.0</v>
      </c>
      <c r="D145" s="49">
        <f>IF(B145="","",VLOOKUP(B145,Magazzino!$B$4:$D$987,2))</f>
        <v>102</v>
      </c>
      <c r="E145" s="50" t="s">
        <v>129</v>
      </c>
      <c r="F145" s="53">
        <v>46107.0</v>
      </c>
    </row>
    <row r="146" ht="19.5" customHeight="1">
      <c r="A146" s="2"/>
      <c r="B146" s="52" t="s">
        <v>28</v>
      </c>
      <c r="C146" s="48">
        <v>1.0</v>
      </c>
      <c r="D146" s="49">
        <f>IF(B146="","",VLOOKUP(B146,Magazzino!$B$4:$D$987,2))</f>
        <v>40</v>
      </c>
      <c r="E146" s="50" t="s">
        <v>129</v>
      </c>
      <c r="F146" s="53">
        <v>46107.0</v>
      </c>
    </row>
    <row r="147" ht="19.5" customHeight="1">
      <c r="A147" s="2"/>
      <c r="B147" s="52" t="s">
        <v>60</v>
      </c>
      <c r="C147" s="48">
        <v>1.0</v>
      </c>
      <c r="D147" s="49">
        <f>IF(B147="","",VLOOKUP(B147,Magazzino!$B$4:$D$987,2))</f>
        <v>6</v>
      </c>
      <c r="E147" s="50" t="s">
        <v>129</v>
      </c>
      <c r="F147" s="53">
        <v>46107.0</v>
      </c>
    </row>
    <row r="148" ht="19.5" customHeight="1">
      <c r="A148" s="2"/>
      <c r="B148" s="52" t="s">
        <v>28</v>
      </c>
      <c r="C148" s="48">
        <v>1.0</v>
      </c>
      <c r="D148" s="49">
        <f>IF(B148="","",VLOOKUP(B148,Magazzino!$B$4:$D$987,2))</f>
        <v>40</v>
      </c>
      <c r="E148" s="50" t="s">
        <v>247</v>
      </c>
      <c r="F148" s="53">
        <v>46107.0</v>
      </c>
    </row>
    <row r="149" ht="19.5" customHeight="1">
      <c r="A149" s="2"/>
      <c r="B149" s="52" t="s">
        <v>22</v>
      </c>
      <c r="C149" s="48">
        <v>1.0</v>
      </c>
      <c r="D149" s="49">
        <f>IF(B149="","",VLOOKUP(B149,Magazzino!$B$4:$D$987,2))</f>
        <v>5</v>
      </c>
      <c r="E149" s="50" t="s">
        <v>247</v>
      </c>
      <c r="F149" s="53">
        <v>46107.0</v>
      </c>
    </row>
    <row r="150" ht="19.5" customHeight="1">
      <c r="A150" s="2"/>
      <c r="B150" s="52" t="s">
        <v>77</v>
      </c>
      <c r="C150" s="48">
        <v>1.0</v>
      </c>
      <c r="D150" s="49">
        <f>IF(B150="","",VLOOKUP(B150,Magazzino!$B$4:$D$987,2))</f>
        <v>42</v>
      </c>
      <c r="E150" s="50" t="s">
        <v>250</v>
      </c>
      <c r="F150" s="53">
        <v>46108.0</v>
      </c>
    </row>
    <row r="151" ht="19.5" customHeight="1">
      <c r="A151" s="2"/>
      <c r="B151" s="52" t="s">
        <v>41</v>
      </c>
      <c r="C151" s="48">
        <v>1.0</v>
      </c>
      <c r="D151" s="49">
        <f>IF(B151="","",VLOOKUP(B151,Magazzino!$B$4:$D$987,2))</f>
        <v>5</v>
      </c>
      <c r="E151" s="50" t="s">
        <v>185</v>
      </c>
      <c r="F151" s="53">
        <v>46108.0</v>
      </c>
    </row>
    <row r="152" ht="19.5" customHeight="1">
      <c r="A152" s="2"/>
      <c r="B152" s="52" t="s">
        <v>77</v>
      </c>
      <c r="C152" s="48">
        <v>2.0</v>
      </c>
      <c r="D152" s="49">
        <f>IF(B152="","",VLOOKUP(B152,Magazzino!$B$4:$D$987,2))</f>
        <v>42</v>
      </c>
      <c r="E152" s="50" t="s">
        <v>64</v>
      </c>
      <c r="F152" s="53">
        <v>46109.0</v>
      </c>
    </row>
    <row r="153" ht="19.5" customHeight="1">
      <c r="A153" s="2"/>
      <c r="B153" s="52" t="s">
        <v>119</v>
      </c>
      <c r="C153" s="48">
        <v>2.0</v>
      </c>
      <c r="D153" s="49">
        <f>IF(B153="","",VLOOKUP(B153,Magazzino!$B$4:$D$987,2))</f>
        <v>0</v>
      </c>
      <c r="E153" s="50" t="s">
        <v>64</v>
      </c>
      <c r="F153" s="53">
        <v>46109.0</v>
      </c>
    </row>
    <row r="154" ht="19.5" customHeight="1">
      <c r="A154" s="2"/>
      <c r="B154" s="52" t="s">
        <v>80</v>
      </c>
      <c r="C154" s="48">
        <v>2.0</v>
      </c>
      <c r="D154" s="49">
        <f>IF(B154="","",VLOOKUP(B154,Magazzino!$B$4:$D$987,2))</f>
        <v>9</v>
      </c>
      <c r="E154" s="50" t="s">
        <v>64</v>
      </c>
      <c r="F154" s="53">
        <v>46109.0</v>
      </c>
    </row>
    <row r="155" ht="19.5" customHeight="1">
      <c r="A155" s="2"/>
      <c r="B155" s="52" t="s">
        <v>16</v>
      </c>
      <c r="C155" s="48">
        <v>2.0</v>
      </c>
      <c r="D155" s="49">
        <f>IF(B155="","",VLOOKUP(B155,Magazzino!$B$4:$D$987,2))</f>
        <v>10</v>
      </c>
      <c r="E155" s="50" t="s">
        <v>64</v>
      </c>
      <c r="F155" s="53">
        <v>46109.0</v>
      </c>
    </row>
    <row r="156" ht="19.5" customHeight="1">
      <c r="A156" s="2"/>
      <c r="B156" s="52" t="s">
        <v>44</v>
      </c>
      <c r="C156" s="48">
        <v>2.0</v>
      </c>
      <c r="D156" s="49">
        <f>IF(B156="","",VLOOKUP(B156,Magazzino!$B$4:$D$987,2))</f>
        <v>16</v>
      </c>
      <c r="E156" s="50" t="s">
        <v>64</v>
      </c>
      <c r="F156" s="53">
        <v>46109.0</v>
      </c>
    </row>
    <row r="157" ht="19.5" customHeight="1">
      <c r="A157" s="2"/>
      <c r="B157" s="52" t="s">
        <v>218</v>
      </c>
      <c r="C157" s="48">
        <v>2.0</v>
      </c>
      <c r="D157" s="49">
        <f>IF(B157="","",VLOOKUP(B157,Magazzino!$B$4:$D$987,2))</f>
        <v>0</v>
      </c>
      <c r="E157" s="50" t="s">
        <v>64</v>
      </c>
      <c r="F157" s="53">
        <v>46109.0</v>
      </c>
    </row>
    <row r="158" ht="19.5" customHeight="1">
      <c r="A158" s="2"/>
      <c r="B158" s="52" t="s">
        <v>49</v>
      </c>
      <c r="C158" s="48">
        <v>2.0</v>
      </c>
      <c r="D158" s="49">
        <f>IF(B158="","",VLOOKUP(B158,Magazzino!$B$4:$D$987,2))</f>
        <v>-2</v>
      </c>
      <c r="E158" s="50" t="s">
        <v>64</v>
      </c>
      <c r="F158" s="53">
        <v>46109.0</v>
      </c>
    </row>
    <row r="159" ht="19.5" customHeight="1">
      <c r="A159" s="2"/>
      <c r="B159" s="52" t="s">
        <v>16</v>
      </c>
      <c r="C159" s="48">
        <v>1.0</v>
      </c>
      <c r="D159" s="49">
        <f>IF(B159="","",VLOOKUP(B159,Magazzino!$B$4:$D$987,2))</f>
        <v>10</v>
      </c>
      <c r="E159" s="50" t="s">
        <v>167</v>
      </c>
      <c r="F159" s="53">
        <v>46109.0</v>
      </c>
    </row>
    <row r="160" ht="19.5" customHeight="1">
      <c r="A160" s="2"/>
      <c r="B160" s="52" t="s">
        <v>47</v>
      </c>
      <c r="C160" s="48">
        <v>2.0</v>
      </c>
      <c r="D160" s="49">
        <f>IF(B160="","",VLOOKUP(B160,Magazzino!$B$4:$D$987,2))</f>
        <v>5</v>
      </c>
      <c r="E160" s="50" t="s">
        <v>64</v>
      </c>
      <c r="F160" s="55">
        <v>46111.0</v>
      </c>
    </row>
    <row r="161" ht="19.5" customHeight="1">
      <c r="A161" s="2"/>
      <c r="B161" s="52" t="s">
        <v>51</v>
      </c>
      <c r="C161" s="48">
        <v>1.0</v>
      </c>
      <c r="D161" s="49">
        <f>IF(B161="","",VLOOKUP(B161,Magazzino!$B$4:$D$987,2))</f>
        <v>-2</v>
      </c>
      <c r="E161" s="50" t="s">
        <v>64</v>
      </c>
      <c r="F161" s="55">
        <v>46112.0</v>
      </c>
    </row>
    <row r="162" ht="19.5" customHeight="1">
      <c r="A162" s="2"/>
      <c r="B162" s="52" t="s">
        <v>236</v>
      </c>
      <c r="C162" s="48">
        <v>1.0</v>
      </c>
      <c r="D162" s="49">
        <f>IF(B162="","",VLOOKUP(B162,Magazzino!$B$4:$D$987,2))</f>
        <v>-2</v>
      </c>
      <c r="E162" s="50" t="s">
        <v>64</v>
      </c>
      <c r="F162" s="55">
        <v>46112.0</v>
      </c>
    </row>
    <row r="163" ht="19.5" customHeight="1">
      <c r="A163" s="2"/>
      <c r="B163" s="52" t="s">
        <v>164</v>
      </c>
      <c r="C163" s="48">
        <v>2.0</v>
      </c>
      <c r="D163" s="49">
        <f>IF(B163="","",VLOOKUP(B163,Magazzino!$B$4:$D$987,2))</f>
        <v>-2</v>
      </c>
      <c r="E163" s="50" t="s">
        <v>64</v>
      </c>
      <c r="F163" s="55">
        <v>46112.0</v>
      </c>
    </row>
    <row r="164" ht="19.5" customHeight="1">
      <c r="A164" s="2"/>
      <c r="B164" s="52" t="s">
        <v>19</v>
      </c>
      <c r="C164" s="48">
        <v>1.0</v>
      </c>
      <c r="D164" s="49">
        <f>IF(B164="","",VLOOKUP(B164,Magazzino!$B$4:$D$987,2))</f>
        <v>3</v>
      </c>
      <c r="E164" s="50" t="s">
        <v>233</v>
      </c>
      <c r="F164" s="55">
        <v>46113.0</v>
      </c>
    </row>
    <row r="165" ht="19.5" customHeight="1">
      <c r="A165" s="2"/>
      <c r="B165" s="52" t="s">
        <v>130</v>
      </c>
      <c r="C165" s="48">
        <v>1.0</v>
      </c>
      <c r="D165" s="49">
        <f>IF(B165="","",VLOOKUP(B165,Magazzino!$B$4:$D$987,2))</f>
        <v>-2</v>
      </c>
      <c r="E165" s="50" t="s">
        <v>233</v>
      </c>
      <c r="F165" s="55">
        <v>46113.0</v>
      </c>
    </row>
    <row r="166" ht="19.5" customHeight="1">
      <c r="A166" s="2"/>
      <c r="B166" s="52" t="s">
        <v>66</v>
      </c>
      <c r="C166" s="48">
        <v>1.0</v>
      </c>
      <c r="D166" s="49">
        <f>IF(B166="","",VLOOKUP(B166,Magazzino!$B$4:$D$987,2))</f>
        <v>-2</v>
      </c>
      <c r="E166" s="50" t="s">
        <v>233</v>
      </c>
      <c r="F166" s="55">
        <v>46113.0</v>
      </c>
    </row>
    <row r="167" ht="19.5" customHeight="1">
      <c r="A167" s="2"/>
      <c r="B167" s="52" t="s">
        <v>77</v>
      </c>
      <c r="C167" s="48">
        <v>1.0</v>
      </c>
      <c r="D167" s="49">
        <f>IF(B167="","",VLOOKUP(B167,Magazzino!$B$4:$D$987,2))</f>
        <v>42</v>
      </c>
      <c r="E167" s="50" t="s">
        <v>258</v>
      </c>
      <c r="F167" s="55">
        <v>46113.0</v>
      </c>
    </row>
    <row r="168" ht="19.5" customHeight="1">
      <c r="A168" s="2"/>
      <c r="B168" s="52" t="s">
        <v>21</v>
      </c>
      <c r="C168" s="48">
        <v>5.0</v>
      </c>
      <c r="D168" s="49">
        <f>IF(B168="","",VLOOKUP(B168,Magazzino!$B$4:$D$987,2))</f>
        <v>75</v>
      </c>
      <c r="E168" s="50" t="s">
        <v>64</v>
      </c>
      <c r="F168" s="55">
        <v>46113.0</v>
      </c>
    </row>
    <row r="169" ht="19.5" customHeight="1">
      <c r="A169" s="2"/>
      <c r="B169" s="52" t="s">
        <v>186</v>
      </c>
      <c r="C169" s="48">
        <v>1.0</v>
      </c>
      <c r="D169" s="49">
        <f>IF(B169="","",VLOOKUP(B169,Magazzino!$B$4:$D$987,2))</f>
        <v>40</v>
      </c>
      <c r="E169" s="50" t="s">
        <v>64</v>
      </c>
      <c r="F169" s="55">
        <v>46113.0</v>
      </c>
    </row>
    <row r="170" ht="19.5" customHeight="1">
      <c r="A170" s="2"/>
      <c r="B170" s="52" t="s">
        <v>119</v>
      </c>
      <c r="C170" s="48">
        <v>2.0</v>
      </c>
      <c r="D170" s="49">
        <f>IF(B170="","",VLOOKUP(B170,Magazzino!$B$4:$D$987,2))</f>
        <v>0</v>
      </c>
      <c r="E170" s="50" t="s">
        <v>64</v>
      </c>
      <c r="F170" s="55">
        <v>46115.0</v>
      </c>
    </row>
    <row r="171" ht="19.5" customHeight="1">
      <c r="A171" s="2"/>
      <c r="B171" s="52" t="s">
        <v>47</v>
      </c>
      <c r="C171" s="48">
        <v>2.0</v>
      </c>
      <c r="D171" s="49">
        <f>IF(B171="","",VLOOKUP(B171,Magazzino!$B$4:$D$987,2))</f>
        <v>5</v>
      </c>
      <c r="E171" s="50" t="s">
        <v>64</v>
      </c>
      <c r="F171" s="55">
        <v>46115.0</v>
      </c>
    </row>
    <row r="172" ht="19.5" customHeight="1">
      <c r="A172" s="2"/>
      <c r="B172" s="52" t="s">
        <v>77</v>
      </c>
      <c r="C172" s="48">
        <v>2.0</v>
      </c>
      <c r="D172" s="49">
        <f>IF(B172="","",VLOOKUP(B172,Magazzino!$B$4:$D$987,2))</f>
        <v>42</v>
      </c>
      <c r="E172" s="50" t="s">
        <v>64</v>
      </c>
      <c r="F172" s="55">
        <v>46115.0</v>
      </c>
    </row>
    <row r="173" ht="19.5" customHeight="1">
      <c r="A173" s="2"/>
      <c r="B173" s="52" t="s">
        <v>72</v>
      </c>
      <c r="C173" s="48">
        <v>1.0</v>
      </c>
      <c r="D173" s="49">
        <f>IF(B173="","",VLOOKUP(B173,Magazzino!$B$4:$D$987,2))</f>
        <v>0</v>
      </c>
      <c r="E173" s="50" t="s">
        <v>64</v>
      </c>
      <c r="F173" s="55">
        <v>46115.0</v>
      </c>
    </row>
    <row r="174" ht="19.5" customHeight="1">
      <c r="A174" s="2"/>
      <c r="B174" s="52" t="s">
        <v>73</v>
      </c>
      <c r="C174" s="48">
        <v>2.0</v>
      </c>
      <c r="D174" s="49">
        <f>IF(B174="","",VLOOKUP(B174,Magazzino!$B$4:$D$987,2))</f>
        <v>9</v>
      </c>
      <c r="E174" s="50" t="s">
        <v>64</v>
      </c>
      <c r="F174" s="55">
        <v>46115.0</v>
      </c>
    </row>
    <row r="175" ht="19.5" customHeight="1">
      <c r="A175" s="2"/>
      <c r="B175" s="52" t="s">
        <v>133</v>
      </c>
      <c r="C175" s="48">
        <v>1.0</v>
      </c>
      <c r="D175" s="49">
        <f>IF(B175="","",VLOOKUP(B175,Magazzino!$B$4:$D$987,2))</f>
        <v>4</v>
      </c>
      <c r="E175" s="50" t="s">
        <v>64</v>
      </c>
      <c r="F175" s="55">
        <v>46115.0</v>
      </c>
    </row>
    <row r="176" ht="19.5" customHeight="1">
      <c r="A176" s="2"/>
      <c r="B176" s="52" t="s">
        <v>121</v>
      </c>
      <c r="C176" s="48">
        <v>1.0</v>
      </c>
      <c r="D176" s="49">
        <f>IF(B176="","",VLOOKUP(B176,Magazzino!$B$4:$D$987,2))</f>
        <v>11</v>
      </c>
      <c r="E176" s="50" t="s">
        <v>64</v>
      </c>
      <c r="F176" s="55">
        <v>46115.0</v>
      </c>
    </row>
    <row r="177" ht="19.5" customHeight="1">
      <c r="A177" s="2"/>
      <c r="B177" s="52" t="s">
        <v>28</v>
      </c>
      <c r="C177" s="48">
        <v>1.0</v>
      </c>
      <c r="D177" s="49">
        <f>IF(B177="","",VLOOKUP(B177,Magazzino!$B$4:$D$987,2))</f>
        <v>40</v>
      </c>
      <c r="E177" s="50" t="s">
        <v>64</v>
      </c>
      <c r="F177" s="55">
        <v>46115.0</v>
      </c>
    </row>
    <row r="178" ht="19.5" customHeight="1">
      <c r="A178" s="2"/>
      <c r="B178" s="52" t="s">
        <v>120</v>
      </c>
      <c r="C178" s="48">
        <v>3.0</v>
      </c>
      <c r="D178" s="49">
        <f>IF(B178="","",VLOOKUP(B178,Magazzino!$B$4:$D$987,2))</f>
        <v>24</v>
      </c>
      <c r="E178" s="50" t="s">
        <v>64</v>
      </c>
      <c r="F178" s="55">
        <v>46115.0</v>
      </c>
    </row>
    <row r="179" ht="19.5" customHeight="1">
      <c r="A179" s="2"/>
      <c r="B179" s="52" t="s">
        <v>253</v>
      </c>
      <c r="C179" s="48">
        <v>2.0</v>
      </c>
      <c r="D179" s="49">
        <f>IF(B179="","",VLOOKUP(B179,Magazzino!$B$4:$D$987,2))</f>
        <v>2</v>
      </c>
      <c r="E179" s="50" t="s">
        <v>64</v>
      </c>
      <c r="F179" s="55">
        <v>46115.0</v>
      </c>
    </row>
    <row r="180" ht="19.5" customHeight="1">
      <c r="A180" s="2"/>
      <c r="B180" s="52" t="s">
        <v>243</v>
      </c>
      <c r="C180" s="48">
        <v>1.0</v>
      </c>
      <c r="D180" s="49">
        <f>IF(B180="","",VLOOKUP(B180,Magazzino!$B$4:$D$987,2))</f>
        <v>3</v>
      </c>
      <c r="E180" s="50" t="s">
        <v>262</v>
      </c>
      <c r="F180" s="55">
        <v>46123.0</v>
      </c>
    </row>
    <row r="181" ht="19.5" customHeight="1">
      <c r="A181" s="2"/>
      <c r="B181" s="52" t="s">
        <v>116</v>
      </c>
      <c r="C181" s="48">
        <v>1.0</v>
      </c>
      <c r="D181" s="49">
        <f>IF(B181="","",VLOOKUP(B181,Magazzino!$B$4:$D$987,2))</f>
        <v>6</v>
      </c>
      <c r="E181" s="50" t="s">
        <v>262</v>
      </c>
      <c r="F181" s="55">
        <v>46123.0</v>
      </c>
    </row>
    <row r="182" ht="19.5" customHeight="1">
      <c r="A182" s="2"/>
      <c r="B182" s="52" t="s">
        <v>33</v>
      </c>
      <c r="C182" s="48">
        <v>1.0</v>
      </c>
      <c r="D182" s="49">
        <f>IF(B182="","",VLOOKUP(B182,Magazzino!$B$4:$D$987,2))</f>
        <v>1</v>
      </c>
      <c r="E182" s="50" t="s">
        <v>129</v>
      </c>
      <c r="F182" s="55">
        <v>46119.0</v>
      </c>
    </row>
    <row r="183" ht="19.5" customHeight="1">
      <c r="A183" s="2"/>
      <c r="B183" s="52" t="s">
        <v>52</v>
      </c>
      <c r="C183" s="48">
        <v>1.0</v>
      </c>
      <c r="D183" s="49">
        <f>IF(B183="","",VLOOKUP(B183,Magazzino!$B$4:$D$987,2))</f>
        <v>18</v>
      </c>
      <c r="E183" s="50" t="s">
        <v>129</v>
      </c>
      <c r="F183" s="55">
        <v>46119.0</v>
      </c>
    </row>
    <row r="184" ht="19.5" customHeight="1">
      <c r="A184" s="2"/>
      <c r="B184" s="52" t="s">
        <v>22</v>
      </c>
      <c r="C184" s="48">
        <v>1.0</v>
      </c>
      <c r="D184" s="49">
        <f>IF(B184="","",VLOOKUP(B184,Magazzino!$B$4:$D$987,2))</f>
        <v>5</v>
      </c>
      <c r="E184" s="50" t="s">
        <v>129</v>
      </c>
      <c r="F184" s="55">
        <v>46119.0</v>
      </c>
    </row>
    <row r="185" ht="19.5" customHeight="1">
      <c r="A185" s="2"/>
      <c r="B185" s="52" t="s">
        <v>98</v>
      </c>
      <c r="C185" s="48">
        <v>1.0</v>
      </c>
      <c r="D185" s="49">
        <f>IF(B185="","",VLOOKUP(B185,Magazzino!$B$4:$D$987,2))</f>
        <v>6</v>
      </c>
      <c r="E185" s="50" t="s">
        <v>129</v>
      </c>
      <c r="F185" s="55">
        <v>46119.0</v>
      </c>
    </row>
    <row r="186" ht="19.5" customHeight="1">
      <c r="A186" s="2"/>
      <c r="B186" s="52" t="s">
        <v>130</v>
      </c>
      <c r="C186" s="48">
        <v>1.0</v>
      </c>
      <c r="D186" s="49">
        <f>IF(B186="","",VLOOKUP(B186,Magazzino!$B$4:$D$987,2))</f>
        <v>-2</v>
      </c>
      <c r="E186" s="50" t="s">
        <v>129</v>
      </c>
      <c r="F186" s="55">
        <v>46119.0</v>
      </c>
    </row>
    <row r="187" ht="19.5" customHeight="1">
      <c r="A187" s="2"/>
      <c r="B187" s="52" t="s">
        <v>195</v>
      </c>
      <c r="C187" s="48">
        <v>1.0</v>
      </c>
      <c r="D187" s="49">
        <f>IF(B187="","",VLOOKUP(B187,Magazzino!$B$4:$D$987,2))</f>
        <v>0</v>
      </c>
      <c r="E187" s="50" t="s">
        <v>129</v>
      </c>
      <c r="F187" s="55">
        <v>46119.0</v>
      </c>
    </row>
    <row r="188" ht="19.5" customHeight="1">
      <c r="A188" s="2"/>
      <c r="B188" s="52" t="s">
        <v>119</v>
      </c>
      <c r="C188" s="48">
        <v>1.0</v>
      </c>
      <c r="D188" s="49">
        <f>IF(B188="","",VLOOKUP(B188,Magazzino!$B$4:$D$987,2))</f>
        <v>0</v>
      </c>
      <c r="E188" s="50" t="s">
        <v>129</v>
      </c>
      <c r="F188" s="55">
        <v>46119.0</v>
      </c>
    </row>
    <row r="189" ht="19.5" customHeight="1">
      <c r="A189" s="2"/>
      <c r="B189" s="52" t="s">
        <v>80</v>
      </c>
      <c r="C189" s="48">
        <v>1.0</v>
      </c>
      <c r="D189" s="49">
        <f>IF(B189="","",VLOOKUP(B189,Magazzino!$B$4:$D$987,2))</f>
        <v>9</v>
      </c>
      <c r="E189" s="50" t="s">
        <v>129</v>
      </c>
      <c r="F189" s="55">
        <v>46119.0</v>
      </c>
    </row>
    <row r="190" ht="19.5" customHeight="1">
      <c r="A190" s="2"/>
      <c r="B190" s="52" t="s">
        <v>178</v>
      </c>
      <c r="C190" s="48">
        <v>1.0</v>
      </c>
      <c r="D190" s="49">
        <f>IF(B190="","",VLOOKUP(B190,Magazzino!$B$4:$D$987,2))</f>
        <v>-3</v>
      </c>
      <c r="E190" s="50" t="s">
        <v>129</v>
      </c>
      <c r="F190" s="55">
        <v>46119.0</v>
      </c>
    </row>
    <row r="191" ht="19.5" customHeight="1">
      <c r="A191" s="2"/>
      <c r="B191" s="52" t="s">
        <v>118</v>
      </c>
      <c r="C191" s="48">
        <v>1.0</v>
      </c>
      <c r="D191" s="49">
        <f>IF(B191="","",VLOOKUP(B191,Magazzino!$B$4:$D$987,2))</f>
        <v>-2</v>
      </c>
      <c r="E191" s="50" t="s">
        <v>129</v>
      </c>
      <c r="F191" s="55">
        <v>46119.0</v>
      </c>
    </row>
    <row r="192" ht="19.5" customHeight="1">
      <c r="A192" s="2"/>
      <c r="B192" s="52" t="s">
        <v>73</v>
      </c>
      <c r="C192" s="48">
        <v>1.0</v>
      </c>
      <c r="D192" s="49">
        <f>IF(B192="","",VLOOKUP(B192,Magazzino!$B$4:$D$987,2))</f>
        <v>9</v>
      </c>
      <c r="E192" s="50" t="s">
        <v>129</v>
      </c>
      <c r="F192" s="55">
        <v>46119.0</v>
      </c>
    </row>
    <row r="193" ht="19.5" customHeight="1">
      <c r="A193" s="2"/>
      <c r="B193" s="52" t="s">
        <v>40</v>
      </c>
      <c r="C193" s="48">
        <v>1.0</v>
      </c>
      <c r="D193" s="49">
        <f>IF(B193="","",VLOOKUP(B193,Magazzino!$B$4:$D$987,2))</f>
        <v>17</v>
      </c>
      <c r="E193" s="50" t="s">
        <v>129</v>
      </c>
      <c r="F193" s="55">
        <v>46119.0</v>
      </c>
    </row>
    <row r="194" ht="19.5" customHeight="1">
      <c r="A194" s="2"/>
      <c r="B194" s="52" t="s">
        <v>178</v>
      </c>
      <c r="C194" s="48">
        <v>1.0</v>
      </c>
      <c r="D194" s="49">
        <f>IF(B194="","",VLOOKUP(B194,Magazzino!$B$4:$D$987,2))</f>
        <v>-3</v>
      </c>
      <c r="E194" s="50" t="s">
        <v>194</v>
      </c>
      <c r="F194" s="55">
        <v>46120.0</v>
      </c>
    </row>
    <row r="195" ht="19.5" customHeight="1">
      <c r="A195" s="2"/>
      <c r="B195" s="52" t="s">
        <v>195</v>
      </c>
      <c r="C195" s="48">
        <v>1.0</v>
      </c>
      <c r="D195" s="49">
        <f>IF(B195="","",VLOOKUP(B195,Magazzino!$B$4:$D$987,2))</f>
        <v>0</v>
      </c>
      <c r="E195" s="50" t="s">
        <v>64</v>
      </c>
      <c r="F195" s="55">
        <v>46121.0</v>
      </c>
    </row>
    <row r="196" ht="19.5" customHeight="1">
      <c r="A196" s="2"/>
      <c r="B196" s="52" t="s">
        <v>21</v>
      </c>
      <c r="C196" s="48">
        <v>4.0</v>
      </c>
      <c r="D196" s="49">
        <f>IF(B196="","",VLOOKUP(B196,Magazzino!$B$4:$D$987,2))</f>
        <v>75</v>
      </c>
      <c r="E196" s="50" t="s">
        <v>64</v>
      </c>
      <c r="F196" s="55">
        <v>46121.0</v>
      </c>
    </row>
    <row r="197" ht="19.5" customHeight="1">
      <c r="A197" s="2"/>
      <c r="B197" s="52" t="s">
        <v>53</v>
      </c>
      <c r="C197" s="48">
        <v>4.0</v>
      </c>
      <c r="D197" s="49">
        <f>IF(B197="","",VLOOKUP(B197,Magazzino!$B$4:$D$987,2))</f>
        <v>24</v>
      </c>
      <c r="E197" s="50" t="s">
        <v>64</v>
      </c>
      <c r="F197" s="55">
        <v>46121.0</v>
      </c>
    </row>
    <row r="198" ht="19.5" customHeight="1">
      <c r="A198" s="2"/>
      <c r="B198" s="52" t="s">
        <v>119</v>
      </c>
      <c r="C198" s="48">
        <v>2.0</v>
      </c>
      <c r="D198" s="49">
        <f>IF(B198="","",VLOOKUP(B198,Magazzino!$B$4:$D$987,2))</f>
        <v>0</v>
      </c>
      <c r="E198" s="50" t="s">
        <v>64</v>
      </c>
      <c r="F198" s="55">
        <v>46121.0</v>
      </c>
    </row>
    <row r="199" ht="19.5" customHeight="1">
      <c r="A199" s="2"/>
      <c r="B199" s="52" t="s">
        <v>70</v>
      </c>
      <c r="C199" s="48">
        <v>2.0</v>
      </c>
      <c r="D199" s="49">
        <f>IF(B199="","",VLOOKUP(B199,Magazzino!$B$4:$D$987,2))</f>
        <v>5</v>
      </c>
      <c r="E199" s="50" t="s">
        <v>64</v>
      </c>
      <c r="F199" s="55">
        <v>46121.0</v>
      </c>
    </row>
    <row r="200" ht="19.5" customHeight="1">
      <c r="A200" s="2"/>
      <c r="B200" s="52" t="s">
        <v>80</v>
      </c>
      <c r="C200" s="48">
        <v>1.0</v>
      </c>
      <c r="D200" s="49">
        <f>IF(B200="","",VLOOKUP(B200,Magazzino!$B$4:$D$987,2))</f>
        <v>9</v>
      </c>
      <c r="E200" s="50" t="s">
        <v>64</v>
      </c>
      <c r="F200" s="55">
        <v>46121.0</v>
      </c>
    </row>
    <row r="201" ht="19.5" customHeight="1">
      <c r="A201" s="2"/>
      <c r="B201" s="52" t="s">
        <v>28</v>
      </c>
      <c r="C201" s="48">
        <v>2.0</v>
      </c>
      <c r="D201" s="49">
        <f>IF(B201="","",VLOOKUP(B201,Magazzino!$B$4:$D$987,2))</f>
        <v>40</v>
      </c>
      <c r="E201" s="50" t="s">
        <v>64</v>
      </c>
      <c r="F201" s="55">
        <v>46121.0</v>
      </c>
    </row>
    <row r="202" ht="19.5" customHeight="1">
      <c r="A202" s="2"/>
      <c r="B202" s="52" t="s">
        <v>77</v>
      </c>
      <c r="C202" s="48">
        <v>2.0</v>
      </c>
      <c r="D202" s="49">
        <f>IF(B202="","",VLOOKUP(B202,Magazzino!$B$4:$D$987,2))</f>
        <v>42</v>
      </c>
      <c r="E202" s="50" t="s">
        <v>64</v>
      </c>
      <c r="F202" s="55">
        <v>46121.0</v>
      </c>
    </row>
    <row r="203" ht="19.5" customHeight="1">
      <c r="A203" s="2"/>
      <c r="B203" s="52" t="s">
        <v>66</v>
      </c>
      <c r="C203" s="48">
        <v>4.0</v>
      </c>
      <c r="D203" s="49">
        <f>IF(B203="","",VLOOKUP(B203,Magazzino!$B$4:$D$987,2))</f>
        <v>-2</v>
      </c>
      <c r="E203" s="50" t="s">
        <v>64</v>
      </c>
      <c r="F203" s="55">
        <v>46121.0</v>
      </c>
    </row>
    <row r="204" ht="19.5" customHeight="1">
      <c r="A204" s="2"/>
      <c r="B204" s="52" t="s">
        <v>142</v>
      </c>
      <c r="C204" s="48">
        <v>2.0</v>
      </c>
      <c r="D204" s="49">
        <f>IF(B204="","",VLOOKUP(B204,Magazzino!$B$4:$D$987,2))</f>
        <v>2</v>
      </c>
      <c r="E204" s="50" t="s">
        <v>64</v>
      </c>
      <c r="F204" s="55">
        <v>46121.0</v>
      </c>
    </row>
    <row r="205" ht="19.5" customHeight="1">
      <c r="A205" s="2"/>
      <c r="B205" s="52" t="s">
        <v>139</v>
      </c>
      <c r="C205" s="48">
        <v>1.0</v>
      </c>
      <c r="D205" s="49">
        <f>IF(B205="","",VLOOKUP(B205,Magazzino!$B$4:$D$987,2))</f>
        <v>0</v>
      </c>
      <c r="E205" s="50" t="s">
        <v>64</v>
      </c>
      <c r="F205" s="55">
        <v>46121.0</v>
      </c>
    </row>
    <row r="206" ht="19.5" customHeight="1">
      <c r="A206" s="2"/>
      <c r="B206" s="52" t="s">
        <v>118</v>
      </c>
      <c r="C206" s="48">
        <v>1.0</v>
      </c>
      <c r="D206" s="49">
        <f>IF(B206="","",VLOOKUP(B206,Magazzino!$B$4:$D$987,2))</f>
        <v>-2</v>
      </c>
      <c r="E206" s="50" t="s">
        <v>233</v>
      </c>
      <c r="F206" s="55">
        <v>46123.0</v>
      </c>
    </row>
    <row r="207" ht="19.5" customHeight="1">
      <c r="A207" s="2"/>
      <c r="B207" s="52" t="s">
        <v>127</v>
      </c>
      <c r="C207" s="48">
        <v>1.0</v>
      </c>
      <c r="D207" s="49">
        <f>IF(B207="","",VLOOKUP(B207,Magazzino!$B$4:$D$987,2))</f>
        <v>3</v>
      </c>
      <c r="E207" s="50" t="s">
        <v>233</v>
      </c>
      <c r="F207" s="55">
        <v>46123.0</v>
      </c>
    </row>
    <row r="208" ht="19.5" customHeight="1">
      <c r="A208" s="2"/>
      <c r="B208" s="52" t="s">
        <v>186</v>
      </c>
      <c r="C208" s="48">
        <v>1.0</v>
      </c>
      <c r="D208" s="49">
        <f>IF(B208="","",VLOOKUP(B208,Magazzino!$B$4:$D$987,2))</f>
        <v>40</v>
      </c>
      <c r="E208" s="50" t="s">
        <v>233</v>
      </c>
      <c r="F208" s="55">
        <v>46123.0</v>
      </c>
    </row>
    <row r="209" ht="19.5" customHeight="1">
      <c r="A209" s="2"/>
      <c r="B209" s="52" t="s">
        <v>16</v>
      </c>
      <c r="C209" s="48">
        <v>2.0</v>
      </c>
      <c r="D209" s="49">
        <f>IF(B209="","",VLOOKUP(B209,Magazzino!$B$4:$D$987,2))</f>
        <v>10</v>
      </c>
      <c r="E209" s="50" t="s">
        <v>233</v>
      </c>
      <c r="F209" s="55">
        <v>46123.0</v>
      </c>
    </row>
    <row r="210" ht="19.5" customHeight="1">
      <c r="A210" s="2"/>
      <c r="B210" s="52" t="s">
        <v>77</v>
      </c>
      <c r="C210" s="48">
        <v>1.0</v>
      </c>
      <c r="D210" s="49">
        <f>IF(B210="","",VLOOKUP(B210,Magazzino!$B$4:$D$987,2))</f>
        <v>42</v>
      </c>
      <c r="E210" s="50" t="s">
        <v>250</v>
      </c>
      <c r="F210" s="55">
        <v>46125.0</v>
      </c>
    </row>
    <row r="211" ht="19.5" customHeight="1">
      <c r="A211" s="2"/>
      <c r="B211" s="52" t="s">
        <v>222</v>
      </c>
      <c r="C211" s="48">
        <v>1.0</v>
      </c>
      <c r="D211" s="49">
        <f>IF(B211="","",VLOOKUP(B211,Magazzino!$B$4:$D$987,2))</f>
        <v>1</v>
      </c>
      <c r="E211" s="50" t="s">
        <v>185</v>
      </c>
      <c r="F211" s="55">
        <v>46125.0</v>
      </c>
    </row>
    <row r="212" ht="19.5" customHeight="1">
      <c r="A212" s="2"/>
      <c r="B212" s="52" t="s">
        <v>77</v>
      </c>
      <c r="C212" s="48">
        <v>1.0</v>
      </c>
      <c r="D212" s="49">
        <f>IF(B212="","",VLOOKUP(B212,Magazzino!$B$4:$D$987,2))</f>
        <v>42</v>
      </c>
      <c r="E212" s="50" t="s">
        <v>111</v>
      </c>
      <c r="F212" s="55">
        <v>46125.0</v>
      </c>
    </row>
    <row r="213" ht="19.5" customHeight="1">
      <c r="A213" s="2"/>
      <c r="B213" s="52" t="s">
        <v>164</v>
      </c>
      <c r="C213" s="48">
        <v>2.0</v>
      </c>
      <c r="D213" s="49">
        <f>IF(B213="","",VLOOKUP(B213,Magazzino!$B$4:$D$987,2))</f>
        <v>-2</v>
      </c>
      <c r="E213" s="50" t="s">
        <v>64</v>
      </c>
      <c r="F213" s="55">
        <v>46126.0</v>
      </c>
    </row>
    <row r="214" ht="19.5" customHeight="1">
      <c r="A214" s="2"/>
      <c r="B214" s="52" t="s">
        <v>236</v>
      </c>
      <c r="C214" s="48">
        <v>2.0</v>
      </c>
      <c r="D214" s="49">
        <f>IF(B214="","",VLOOKUP(B214,Magazzino!$B$4:$D$987,2))</f>
        <v>-2</v>
      </c>
      <c r="E214" s="50" t="s">
        <v>64</v>
      </c>
      <c r="F214" s="55">
        <v>46126.0</v>
      </c>
    </row>
    <row r="215" ht="19.5" customHeight="1">
      <c r="A215" s="2"/>
      <c r="B215" s="52" t="s">
        <v>51</v>
      </c>
      <c r="C215" s="48">
        <v>2.0</v>
      </c>
      <c r="D215" s="49">
        <f>IF(B215="","",VLOOKUP(B215,Magazzino!$B$4:$D$987,2))</f>
        <v>-2</v>
      </c>
      <c r="E215" s="50" t="s">
        <v>64</v>
      </c>
      <c r="F215" s="55">
        <v>46126.0</v>
      </c>
    </row>
    <row r="216" ht="19.5" customHeight="1">
      <c r="A216" s="2"/>
      <c r="B216" s="52" t="s">
        <v>19</v>
      </c>
      <c r="C216" s="48">
        <v>1.0</v>
      </c>
      <c r="D216" s="49">
        <f>IF(B216="","",VLOOKUP(B216,Magazzino!$B$4:$D$987,2))</f>
        <v>3</v>
      </c>
      <c r="E216" s="50" t="s">
        <v>129</v>
      </c>
      <c r="F216" s="55">
        <v>46126.0</v>
      </c>
    </row>
    <row r="217" ht="19.5" customHeight="1">
      <c r="A217" s="2"/>
      <c r="B217" s="52" t="s">
        <v>138</v>
      </c>
      <c r="C217" s="48">
        <v>1.0</v>
      </c>
      <c r="D217" s="49">
        <f>IF(B217="","",VLOOKUP(B217,Magazzino!$B$4:$D$987,2))</f>
        <v>4</v>
      </c>
      <c r="E217" s="50" t="s">
        <v>129</v>
      </c>
      <c r="F217" s="55">
        <v>46126.0</v>
      </c>
    </row>
    <row r="218" ht="19.5" customHeight="1">
      <c r="A218" s="2"/>
      <c r="B218" s="52" t="s">
        <v>136</v>
      </c>
      <c r="C218" s="48">
        <v>1.0</v>
      </c>
      <c r="D218" s="49">
        <f>IF(B218="","",VLOOKUP(B218,Magazzino!$B$4:$D$987,2))</f>
        <v>3</v>
      </c>
      <c r="E218" s="50" t="s">
        <v>129</v>
      </c>
      <c r="F218" s="55">
        <v>46126.0</v>
      </c>
    </row>
    <row r="219" ht="19.5" customHeight="1">
      <c r="A219" s="61"/>
      <c r="B219" s="62" t="s">
        <v>28</v>
      </c>
      <c r="C219" s="63">
        <v>1.0</v>
      </c>
      <c r="D219" s="49">
        <f>IF(B219="","",VLOOKUP(B219,Magazzino!$B$4:$D$987,2))</f>
        <v>40</v>
      </c>
      <c r="E219" s="64" t="s">
        <v>194</v>
      </c>
      <c r="F219" s="55">
        <v>46126.0</v>
      </c>
    </row>
    <row r="220" ht="19.5" customHeight="1">
      <c r="A220" s="61"/>
      <c r="B220" s="62" t="s">
        <v>175</v>
      </c>
      <c r="C220" s="63">
        <v>1.0</v>
      </c>
      <c r="D220" s="49">
        <f>IF(B220="","",VLOOKUP(B220,Magazzino!$B$4:$D$987,2))</f>
        <v>7</v>
      </c>
      <c r="E220" s="64" t="s">
        <v>129</v>
      </c>
      <c r="F220" s="55">
        <v>46128.0</v>
      </c>
    </row>
    <row r="221" ht="19.5" customHeight="1">
      <c r="A221" s="61"/>
      <c r="B221" s="62" t="s">
        <v>68</v>
      </c>
      <c r="C221" s="63">
        <v>3.0</v>
      </c>
      <c r="D221" s="49">
        <f>IF(B221="","",VLOOKUP(B221,Magazzino!$B$4:$D$987,2))</f>
        <v>192</v>
      </c>
      <c r="E221" s="64" t="s">
        <v>129</v>
      </c>
      <c r="F221" s="55">
        <v>46128.0</v>
      </c>
    </row>
    <row r="222" ht="19.5" customHeight="1">
      <c r="A222" s="61"/>
      <c r="B222" s="62" t="s">
        <v>77</v>
      </c>
      <c r="C222" s="63">
        <v>1.0</v>
      </c>
      <c r="D222" s="49">
        <f>IF(B222="","",VLOOKUP(B222,Magazzino!$B$4:$D$987,2))</f>
        <v>42</v>
      </c>
      <c r="E222" s="64" t="s">
        <v>111</v>
      </c>
      <c r="F222" s="55">
        <v>46128.0</v>
      </c>
    </row>
    <row r="223" ht="19.5" customHeight="1">
      <c r="A223" s="61"/>
      <c r="B223" s="62" t="s">
        <v>77</v>
      </c>
      <c r="C223" s="63">
        <v>1.0</v>
      </c>
      <c r="D223" s="49">
        <f>IF(B223="","",VLOOKUP(B223,Magazzino!$B$4:$D$987,2))</f>
        <v>42</v>
      </c>
      <c r="E223" s="64" t="s">
        <v>250</v>
      </c>
      <c r="F223" s="55">
        <v>46129.0</v>
      </c>
    </row>
    <row r="224" ht="19.5" customHeight="1">
      <c r="A224" s="61"/>
      <c r="B224" s="62" t="s">
        <v>178</v>
      </c>
      <c r="C224" s="63">
        <v>1.0</v>
      </c>
      <c r="D224" s="49">
        <f>IF(B224="","",VLOOKUP(B224,Magazzino!$B$4:$D$987,2))</f>
        <v>-3</v>
      </c>
      <c r="E224" s="64" t="s">
        <v>250</v>
      </c>
      <c r="F224" s="55">
        <v>46129.0</v>
      </c>
    </row>
    <row r="225" ht="19.5" customHeight="1">
      <c r="A225" s="61"/>
      <c r="B225" s="62" t="s">
        <v>28</v>
      </c>
      <c r="C225" s="63">
        <v>1.0</v>
      </c>
      <c r="D225" s="49">
        <f>IF(B225="","",VLOOKUP(B225,Magazzino!$B$4:$D$987,2))</f>
        <v>40</v>
      </c>
      <c r="E225" s="64" t="s">
        <v>247</v>
      </c>
      <c r="F225" s="55">
        <v>46129.0</v>
      </c>
    </row>
    <row r="226" ht="19.5" customHeight="1">
      <c r="A226" s="61"/>
      <c r="B226" s="62" t="s">
        <v>22</v>
      </c>
      <c r="C226" s="63">
        <v>1.0</v>
      </c>
      <c r="D226" s="49">
        <f>IF(B226="","",VLOOKUP(B226,Magazzino!$B$4:$D$987,2))</f>
        <v>5</v>
      </c>
      <c r="E226" s="64" t="s">
        <v>247</v>
      </c>
      <c r="F226" s="55">
        <v>46129.0</v>
      </c>
    </row>
    <row r="227" ht="19.5" customHeight="1">
      <c r="A227" s="61"/>
      <c r="B227" s="62" t="s">
        <v>178</v>
      </c>
      <c r="C227" s="63">
        <v>1.0</v>
      </c>
      <c r="D227" s="49">
        <f>IF(B227="","",VLOOKUP(B227,Magazzino!$B$4:$D$987,2))</f>
        <v>-3</v>
      </c>
      <c r="E227" s="64" t="s">
        <v>247</v>
      </c>
      <c r="F227" s="55">
        <v>46129.0</v>
      </c>
    </row>
    <row r="228" ht="19.5" customHeight="1">
      <c r="A228" s="61"/>
      <c r="B228" s="62" t="s">
        <v>16</v>
      </c>
      <c r="C228" s="63">
        <v>2.0</v>
      </c>
      <c r="D228" s="49">
        <f>IF(B228="","",VLOOKUP(B228,Magazzino!$B$4:$D$987,2))</f>
        <v>10</v>
      </c>
      <c r="E228" s="64" t="s">
        <v>64</v>
      </c>
      <c r="F228" s="55">
        <v>46130.0</v>
      </c>
    </row>
    <row r="229" ht="19.5" customHeight="1">
      <c r="A229" s="61"/>
      <c r="B229" s="62" t="s">
        <v>28</v>
      </c>
      <c r="C229" s="63">
        <v>2.0</v>
      </c>
      <c r="D229" s="49">
        <f>IF(B229="","",VLOOKUP(B229,Magazzino!$B$4:$D$987,2))</f>
        <v>40</v>
      </c>
      <c r="E229" s="64" t="s">
        <v>64</v>
      </c>
      <c r="F229" s="55">
        <v>46130.0</v>
      </c>
    </row>
    <row r="230" ht="19.5" customHeight="1">
      <c r="A230" s="61"/>
      <c r="B230" s="62" t="s">
        <v>44</v>
      </c>
      <c r="C230" s="63">
        <v>2.0</v>
      </c>
      <c r="D230" s="49">
        <f>IF(B230="","",VLOOKUP(B230,Magazzino!$B$4:$D$987,2))</f>
        <v>16</v>
      </c>
      <c r="E230" s="64" t="s">
        <v>64</v>
      </c>
      <c r="F230" s="55">
        <v>46130.0</v>
      </c>
    </row>
    <row r="231" ht="19.5" customHeight="1">
      <c r="A231" s="61"/>
      <c r="B231" s="62" t="s">
        <v>218</v>
      </c>
      <c r="C231" s="63">
        <v>2.0</v>
      </c>
      <c r="D231" s="49">
        <f>IF(B231="","",VLOOKUP(B231,Magazzino!$B$4:$D$987,2))</f>
        <v>0</v>
      </c>
      <c r="E231" s="64" t="s">
        <v>64</v>
      </c>
      <c r="F231" s="55">
        <v>46130.0</v>
      </c>
    </row>
    <row r="232" ht="19.5" customHeight="1">
      <c r="A232" s="61"/>
      <c r="B232" s="62" t="s">
        <v>119</v>
      </c>
      <c r="C232" s="63">
        <v>2.0</v>
      </c>
      <c r="D232" s="49">
        <f>IF(B232="","",VLOOKUP(B232,Magazzino!$B$4:$D$987,2))</f>
        <v>0</v>
      </c>
      <c r="E232" s="64" t="s">
        <v>64</v>
      </c>
      <c r="F232" s="55">
        <v>46130.0</v>
      </c>
    </row>
    <row r="233" ht="19.5" customHeight="1">
      <c r="A233" s="61"/>
      <c r="B233" s="62" t="s">
        <v>179</v>
      </c>
      <c r="C233" s="63">
        <v>1.0</v>
      </c>
      <c r="D233" s="49">
        <f>IF(B233="","",VLOOKUP(B233,Magazzino!$B$4:$D$987,2))</f>
        <v>0</v>
      </c>
      <c r="E233" s="64" t="s">
        <v>129</v>
      </c>
      <c r="F233" s="55">
        <v>46132.0</v>
      </c>
    </row>
    <row r="234" ht="19.5" customHeight="1">
      <c r="A234" s="61"/>
      <c r="B234" s="62" t="s">
        <v>45</v>
      </c>
      <c r="C234" s="63">
        <v>1.0</v>
      </c>
      <c r="D234" s="49">
        <f>IF(B234="","",VLOOKUP(B234,Magazzino!$B$4:$D$987,2))</f>
        <v>102</v>
      </c>
      <c r="E234" s="64" t="s">
        <v>129</v>
      </c>
      <c r="F234" s="55">
        <v>46132.0</v>
      </c>
    </row>
    <row r="235" ht="19.5" customHeight="1">
      <c r="A235" s="61"/>
      <c r="B235" s="62" t="s">
        <v>82</v>
      </c>
      <c r="C235" s="63">
        <v>1.0</v>
      </c>
      <c r="D235" s="49">
        <f>IF(B235="","",VLOOKUP(B235,Magazzino!$B$4:$D$987,2))</f>
        <v>-2</v>
      </c>
      <c r="E235" s="64" t="s">
        <v>129</v>
      </c>
      <c r="F235" s="55">
        <v>46132.0</v>
      </c>
    </row>
    <row r="236" ht="19.5" customHeight="1">
      <c r="A236" s="61"/>
      <c r="B236" s="62" t="s">
        <v>22</v>
      </c>
      <c r="C236" s="63">
        <v>1.0</v>
      </c>
      <c r="D236" s="49">
        <f>IF(B236="","",VLOOKUP(B236,Magazzino!$B$4:$D$987,2))</f>
        <v>5</v>
      </c>
      <c r="E236" s="64" t="s">
        <v>129</v>
      </c>
      <c r="F236" s="55">
        <v>46132.0</v>
      </c>
    </row>
    <row r="237" ht="19.5" customHeight="1">
      <c r="A237" s="61"/>
      <c r="B237" s="62" t="s">
        <v>80</v>
      </c>
      <c r="C237" s="63">
        <v>1.0</v>
      </c>
      <c r="D237" s="49">
        <f>IF(B237="","",VLOOKUP(B237,Magazzino!$B$4:$D$987,2))</f>
        <v>9</v>
      </c>
      <c r="E237" s="64" t="s">
        <v>129</v>
      </c>
      <c r="F237" s="55">
        <v>46132.0</v>
      </c>
    </row>
    <row r="238" ht="19.5" customHeight="1">
      <c r="A238" s="61"/>
      <c r="B238" s="62" t="s">
        <v>19</v>
      </c>
      <c r="C238" s="63">
        <v>1.0</v>
      </c>
      <c r="D238" s="49">
        <f>IF(B238="","",VLOOKUP(B238,Magazzino!$B$4:$D$987,2))</f>
        <v>3</v>
      </c>
      <c r="E238" s="64" t="s">
        <v>129</v>
      </c>
      <c r="F238" s="55">
        <v>46132.0</v>
      </c>
    </row>
    <row r="239" ht="19.5" customHeight="1">
      <c r="A239" s="61"/>
      <c r="B239" s="62" t="s">
        <v>28</v>
      </c>
      <c r="C239" s="63">
        <v>1.0</v>
      </c>
      <c r="D239" s="49">
        <f>IF(B239="","",VLOOKUP(B239,Magazzino!$B$4:$D$987,2))</f>
        <v>40</v>
      </c>
      <c r="E239" s="64" t="s">
        <v>129</v>
      </c>
      <c r="F239" s="55">
        <v>46132.0</v>
      </c>
    </row>
    <row r="240" ht="19.5" customHeight="1">
      <c r="A240" s="61"/>
      <c r="B240" s="62" t="s">
        <v>80</v>
      </c>
      <c r="C240" s="63">
        <v>1.0</v>
      </c>
      <c r="D240" s="49">
        <f>IF(B240="","",VLOOKUP(B240,Magazzino!$B$4:$D$987,2))</f>
        <v>9</v>
      </c>
      <c r="E240" s="64" t="s">
        <v>64</v>
      </c>
      <c r="F240" s="55">
        <v>46132.0</v>
      </c>
    </row>
    <row r="241" ht="19.5" customHeight="1">
      <c r="A241" s="61"/>
      <c r="B241" s="62" t="s">
        <v>123</v>
      </c>
      <c r="C241" s="63">
        <v>4.0</v>
      </c>
      <c r="D241" s="49">
        <f>IF(B241="","",VLOOKUP(B241,Magazzino!$B$4:$D$987,2))</f>
        <v>6</v>
      </c>
      <c r="E241" s="64" t="s">
        <v>64</v>
      </c>
      <c r="F241" s="55">
        <v>46132.0</v>
      </c>
    </row>
    <row r="242" ht="19.5" customHeight="1">
      <c r="A242" s="61"/>
      <c r="B242" s="62" t="s">
        <v>42</v>
      </c>
      <c r="C242" s="63">
        <v>3.0</v>
      </c>
      <c r="D242" s="49">
        <f>IF(B242="","",VLOOKUP(B242,Magazzino!$B$4:$D$987,2))</f>
        <v>1</v>
      </c>
      <c r="E242" s="64" t="s">
        <v>64</v>
      </c>
      <c r="F242" s="55">
        <v>46132.0</v>
      </c>
    </row>
    <row r="243" ht="19.5" customHeight="1">
      <c r="A243" s="61"/>
      <c r="B243" s="62" t="s">
        <v>149</v>
      </c>
      <c r="C243" s="63">
        <v>8.0</v>
      </c>
      <c r="D243" s="49">
        <f>IF(B243="","",VLOOKUP(B243,Magazzino!$B$4:$D$987,2))</f>
        <v>11</v>
      </c>
      <c r="E243" s="64" t="s">
        <v>111</v>
      </c>
      <c r="F243" s="55">
        <v>46133.0</v>
      </c>
    </row>
    <row r="244" ht="19.5" customHeight="1">
      <c r="A244" s="61"/>
      <c r="B244" s="62" t="s">
        <v>134</v>
      </c>
      <c r="C244" s="63">
        <v>1.0</v>
      </c>
      <c r="D244" s="49">
        <f>IF(B244="","",VLOOKUP(B244,Magazzino!$B$4:$D$987,2))</f>
        <v>30</v>
      </c>
      <c r="E244" s="64" t="s">
        <v>111</v>
      </c>
      <c r="F244" s="55">
        <v>46133.0</v>
      </c>
    </row>
    <row r="245" ht="19.5" customHeight="1">
      <c r="A245" s="61"/>
      <c r="B245" s="62" t="s">
        <v>85</v>
      </c>
      <c r="C245" s="63">
        <v>1.0</v>
      </c>
      <c r="D245" s="49">
        <f>IF(B245="","",VLOOKUP(B245,Magazzino!$B$4:$D$987,2))</f>
        <v>-2</v>
      </c>
      <c r="E245" s="64" t="s">
        <v>111</v>
      </c>
      <c r="F245" s="55">
        <v>46133.0</v>
      </c>
    </row>
    <row r="246" ht="19.5" customHeight="1">
      <c r="A246" s="61"/>
      <c r="B246" s="62" t="s">
        <v>200</v>
      </c>
      <c r="C246" s="63">
        <v>1.0</v>
      </c>
      <c r="D246" s="49">
        <f>IF(B246="","",VLOOKUP(B246,Magazzino!$B$4:$D$987,2))</f>
        <v>12</v>
      </c>
      <c r="E246" s="64" t="s">
        <v>111</v>
      </c>
      <c r="F246" s="55">
        <v>46133.0</v>
      </c>
    </row>
    <row r="247" ht="19.5" customHeight="1">
      <c r="A247" s="61"/>
      <c r="B247" s="62" t="s">
        <v>123</v>
      </c>
      <c r="C247" s="63">
        <v>1.0</v>
      </c>
      <c r="D247" s="49">
        <f>IF(B247="","",VLOOKUP(B247,Magazzino!$B$4:$D$987,2))</f>
        <v>6</v>
      </c>
      <c r="E247" s="64" t="s">
        <v>111</v>
      </c>
      <c r="F247" s="55">
        <v>46133.0</v>
      </c>
    </row>
    <row r="248" ht="19.5" customHeight="1">
      <c r="A248" s="61"/>
      <c r="B248" s="62" t="s">
        <v>127</v>
      </c>
      <c r="C248" s="63">
        <v>1.0</v>
      </c>
      <c r="D248" s="49">
        <f>IF(B248="","",VLOOKUP(B248,Magazzino!$B$4:$D$987,2))</f>
        <v>3</v>
      </c>
      <c r="E248" s="64" t="s">
        <v>111</v>
      </c>
      <c r="F248" s="55">
        <v>46133.0</v>
      </c>
    </row>
    <row r="249" ht="19.5" customHeight="1">
      <c r="A249" s="61"/>
      <c r="B249" s="62" t="s">
        <v>15</v>
      </c>
      <c r="C249" s="63">
        <v>2.0</v>
      </c>
      <c r="D249" s="49">
        <f>IF(B249="","",VLOOKUP(B249,Magazzino!$B$4:$D$987,2))</f>
        <v>-2</v>
      </c>
      <c r="E249" s="64" t="s">
        <v>214</v>
      </c>
      <c r="F249" s="55">
        <v>46133.0</v>
      </c>
    </row>
    <row r="250" ht="19.5" customHeight="1">
      <c r="A250" s="61"/>
      <c r="B250" s="62" t="s">
        <v>22</v>
      </c>
      <c r="C250" s="63">
        <v>1.0</v>
      </c>
      <c r="D250" s="49">
        <f>IF(B250="","",VLOOKUP(B250,Magazzino!$B$4:$D$987,2))</f>
        <v>5</v>
      </c>
      <c r="E250" s="64" t="s">
        <v>250</v>
      </c>
      <c r="F250" s="55">
        <v>46135.0</v>
      </c>
    </row>
    <row r="251" ht="19.5" customHeight="1">
      <c r="A251" s="61"/>
      <c r="B251" s="62" t="s">
        <v>49</v>
      </c>
      <c r="C251" s="63">
        <v>1.0</v>
      </c>
      <c r="D251" s="49">
        <f>IF(B251="","",VLOOKUP(B251,Magazzino!$B$4:$D$987,2))</f>
        <v>-2</v>
      </c>
      <c r="E251" s="64" t="s">
        <v>64</v>
      </c>
      <c r="F251" s="55">
        <v>46135.0</v>
      </c>
    </row>
    <row r="252" ht="19.5" customHeight="1">
      <c r="A252" s="61"/>
      <c r="B252" s="62" t="s">
        <v>85</v>
      </c>
      <c r="C252" s="63">
        <v>1.0</v>
      </c>
      <c r="D252" s="49">
        <f>IF(B252="","",VLOOKUP(B252,Magazzino!$B$4:$D$987,2))</f>
        <v>-2</v>
      </c>
      <c r="E252" s="64" t="s">
        <v>64</v>
      </c>
      <c r="F252" s="55">
        <v>46135.0</v>
      </c>
    </row>
    <row r="253" ht="19.5" customHeight="1">
      <c r="A253" s="61"/>
      <c r="B253" s="62" t="s">
        <v>121</v>
      </c>
      <c r="C253" s="63">
        <v>1.0</v>
      </c>
      <c r="D253" s="49">
        <f>IF(B253="","",VLOOKUP(B253,Magazzino!$B$4:$D$987,2))</f>
        <v>11</v>
      </c>
      <c r="E253" s="64" t="s">
        <v>64</v>
      </c>
      <c r="F253" s="55">
        <v>46135.0</v>
      </c>
    </row>
    <row r="254" ht="19.5" customHeight="1">
      <c r="A254" s="61"/>
      <c r="B254" s="62" t="s">
        <v>119</v>
      </c>
      <c r="C254" s="63">
        <v>1.0</v>
      </c>
      <c r="D254" s="49">
        <f>IF(B254="","",VLOOKUP(B254,Magazzino!$B$4:$D$987,2))</f>
        <v>0</v>
      </c>
      <c r="E254" s="64" t="s">
        <v>64</v>
      </c>
      <c r="F254" s="55">
        <v>46135.0</v>
      </c>
    </row>
    <row r="255" ht="19.5" customHeight="1">
      <c r="A255" s="61"/>
      <c r="B255" s="62" t="s">
        <v>70</v>
      </c>
      <c r="C255" s="63">
        <v>1.0</v>
      </c>
      <c r="D255" s="49">
        <f>IF(B255="","",VLOOKUP(B255,Magazzino!$B$4:$D$987,2))</f>
        <v>5</v>
      </c>
      <c r="E255" s="64" t="s">
        <v>64</v>
      </c>
      <c r="F255" s="55">
        <v>46135.0</v>
      </c>
    </row>
    <row r="256" ht="19.5" customHeight="1">
      <c r="A256" s="61"/>
      <c r="B256" s="62" t="s">
        <v>28</v>
      </c>
      <c r="C256" s="63">
        <v>1.0</v>
      </c>
      <c r="D256" s="49">
        <f>IF(B256="","",VLOOKUP(B256,Magazzino!$B$4:$D$987,2))</f>
        <v>40</v>
      </c>
      <c r="E256" s="64" t="s">
        <v>64</v>
      </c>
      <c r="F256" s="55">
        <v>46135.0</v>
      </c>
    </row>
    <row r="257" ht="19.5" customHeight="1">
      <c r="A257" s="61"/>
      <c r="B257" s="62" t="s">
        <v>77</v>
      </c>
      <c r="C257" s="63">
        <v>1.0</v>
      </c>
      <c r="D257" s="49">
        <f>IF(B257="","",VLOOKUP(B257,Magazzino!$B$4:$D$987,2))</f>
        <v>42</v>
      </c>
      <c r="E257" s="64" t="s">
        <v>64</v>
      </c>
      <c r="F257" s="55">
        <v>46135.0</v>
      </c>
    </row>
    <row r="258" ht="19.5" customHeight="1">
      <c r="A258" s="61"/>
      <c r="B258" s="62" t="s">
        <v>77</v>
      </c>
      <c r="C258" s="63">
        <v>1.0</v>
      </c>
      <c r="D258" s="49">
        <f>IF(B258="","",VLOOKUP(B258,Magazzino!$B$4:$D$987,2))</f>
        <v>42</v>
      </c>
      <c r="E258" s="64" t="s">
        <v>111</v>
      </c>
      <c r="F258" s="55">
        <v>46135.0</v>
      </c>
    </row>
    <row r="259" ht="19.5" customHeight="1">
      <c r="A259" s="61"/>
      <c r="B259" s="62" t="s">
        <v>21</v>
      </c>
      <c r="C259" s="63">
        <v>4.0</v>
      </c>
      <c r="D259" s="49">
        <f>IF(B259="","",VLOOKUP(B259,Magazzino!$B$4:$D$987,2))</f>
        <v>75</v>
      </c>
      <c r="E259" s="64" t="s">
        <v>64</v>
      </c>
      <c r="F259" s="55">
        <v>46136.0</v>
      </c>
    </row>
    <row r="260" ht="19.5" customHeight="1">
      <c r="A260" s="61"/>
      <c r="B260" s="62" t="s">
        <v>38</v>
      </c>
      <c r="C260" s="63">
        <v>4.0</v>
      </c>
      <c r="D260" s="49">
        <f>IF(B260="","",VLOOKUP(B260,Magazzino!$B$4:$D$987,2))</f>
        <v>12</v>
      </c>
      <c r="E260" s="64" t="s">
        <v>64</v>
      </c>
      <c r="F260" s="55">
        <v>46136.0</v>
      </c>
    </row>
    <row r="261" ht="19.5" customHeight="1">
      <c r="A261" s="61"/>
      <c r="B261" s="62" t="s">
        <v>164</v>
      </c>
      <c r="C261" s="63">
        <v>2.0</v>
      </c>
      <c r="D261" s="49">
        <f>IF(B261="","",VLOOKUP(B261,Magazzino!$B$4:$D$987,2))</f>
        <v>-2</v>
      </c>
      <c r="E261" s="64" t="s">
        <v>64</v>
      </c>
      <c r="F261" s="55">
        <v>46139.0</v>
      </c>
    </row>
    <row r="262" ht="19.5" customHeight="1">
      <c r="A262" s="61"/>
      <c r="B262" s="62" t="s">
        <v>164</v>
      </c>
      <c r="C262" s="63">
        <v>2.0</v>
      </c>
      <c r="D262" s="49">
        <f>IF(B262="","",VLOOKUP(B262,Magazzino!$B$4:$D$987,2))</f>
        <v>-2</v>
      </c>
      <c r="E262" s="64" t="s">
        <v>64</v>
      </c>
      <c r="F262" s="55">
        <v>46139.0</v>
      </c>
    </row>
    <row r="263" ht="19.5" customHeight="1">
      <c r="A263" s="61"/>
      <c r="B263" s="62" t="s">
        <v>51</v>
      </c>
      <c r="C263" s="63">
        <v>2.0</v>
      </c>
      <c r="D263" s="49">
        <f>IF(B263="","",VLOOKUP(B263,Magazzino!$B$4:$D$987,2))</f>
        <v>-2</v>
      </c>
      <c r="E263" s="64" t="s">
        <v>64</v>
      </c>
      <c r="F263" s="55">
        <v>46139.0</v>
      </c>
    </row>
    <row r="264" ht="19.5" customHeight="1">
      <c r="A264" s="61"/>
      <c r="B264" s="62" t="s">
        <v>16</v>
      </c>
      <c r="C264" s="63">
        <v>2.0</v>
      </c>
      <c r="D264" s="49">
        <f>IF(B264="","",VLOOKUP(B264,Magazzino!$B$4:$D$987,2))</f>
        <v>10</v>
      </c>
      <c r="E264" s="64" t="s">
        <v>64</v>
      </c>
      <c r="F264" s="55">
        <v>46139.0</v>
      </c>
    </row>
    <row r="265" ht="19.5" customHeight="1">
      <c r="A265" s="61"/>
      <c r="B265" s="62" t="s">
        <v>119</v>
      </c>
      <c r="C265" s="63">
        <v>2.0</v>
      </c>
      <c r="D265" s="49">
        <f>IF(B265="","",VLOOKUP(B265,Magazzino!$B$4:$D$987,2))</f>
        <v>0</v>
      </c>
      <c r="E265" s="64" t="s">
        <v>64</v>
      </c>
      <c r="F265" s="55">
        <v>46139.0</v>
      </c>
    </row>
    <row r="266" ht="19.5" customHeight="1">
      <c r="A266" s="61"/>
      <c r="B266" s="62" t="s">
        <v>80</v>
      </c>
      <c r="C266" s="63">
        <v>1.0</v>
      </c>
      <c r="D266" s="49">
        <f>IF(B266="","",VLOOKUP(B266,Magazzino!$B$4:$D$987,2))</f>
        <v>9</v>
      </c>
      <c r="E266" s="64" t="s">
        <v>64</v>
      </c>
      <c r="F266" s="55">
        <v>46139.0</v>
      </c>
    </row>
    <row r="267" ht="19.5" customHeight="1">
      <c r="A267" s="61"/>
      <c r="B267" s="62" t="s">
        <v>120</v>
      </c>
      <c r="C267" s="63">
        <v>5.0</v>
      </c>
      <c r="D267" s="49">
        <f>IF(B267="","",VLOOKUP(B267,Magazzino!$B$4:$D$987,2))</f>
        <v>24</v>
      </c>
      <c r="E267" s="64" t="s">
        <v>64</v>
      </c>
      <c r="F267" s="55">
        <v>46140.0</v>
      </c>
    </row>
    <row r="268" ht="19.5" customHeight="1">
      <c r="A268" s="61"/>
      <c r="B268" s="62" t="s">
        <v>77</v>
      </c>
      <c r="C268" s="63">
        <v>2.0</v>
      </c>
      <c r="D268" s="49">
        <f>IF(B268="","",VLOOKUP(B268,Magazzino!$B$4:$D$987,2))</f>
        <v>42</v>
      </c>
      <c r="E268" s="64" t="s">
        <v>64</v>
      </c>
      <c r="F268" s="55">
        <v>46140.0</v>
      </c>
    </row>
    <row r="269" ht="19.5" customHeight="1">
      <c r="A269" s="61"/>
      <c r="B269" s="62" t="s">
        <v>47</v>
      </c>
      <c r="C269" s="63">
        <v>2.0</v>
      </c>
      <c r="D269" s="49">
        <f>IF(B269="","",VLOOKUP(B269,Magazzino!$B$4:$D$987,2))</f>
        <v>5</v>
      </c>
      <c r="E269" s="64" t="s">
        <v>64</v>
      </c>
      <c r="F269" s="55">
        <v>46140.0</v>
      </c>
    </row>
    <row r="270" ht="19.5" customHeight="1">
      <c r="A270" s="61"/>
      <c r="B270" s="62" t="s">
        <v>108</v>
      </c>
      <c r="C270" s="63">
        <v>2.0</v>
      </c>
      <c r="D270" s="49">
        <f>IF(B270="","",VLOOKUP(B270,Magazzino!$B$4:$D$987,2))</f>
        <v>7</v>
      </c>
      <c r="E270" s="64" t="s">
        <v>64</v>
      </c>
      <c r="F270" s="55">
        <v>46140.0</v>
      </c>
    </row>
    <row r="271" ht="19.5" customHeight="1">
      <c r="A271" s="61"/>
      <c r="B271" s="62" t="s">
        <v>135</v>
      </c>
      <c r="C271" s="63">
        <v>1.0</v>
      </c>
      <c r="D271" s="49">
        <f>IF(B271="","",VLOOKUP(B271,Magazzino!$B$4:$D$987,2))</f>
        <v>12</v>
      </c>
      <c r="E271" s="64" t="s">
        <v>64</v>
      </c>
      <c r="F271" s="55">
        <v>46140.0</v>
      </c>
    </row>
    <row r="272" ht="19.5" customHeight="1">
      <c r="A272" s="61"/>
      <c r="B272" s="62" t="s">
        <v>44</v>
      </c>
      <c r="C272" s="63">
        <v>2.0</v>
      </c>
      <c r="D272" s="49">
        <f>IF(B272="","",VLOOKUP(B272,Magazzino!$B$4:$D$987,2))</f>
        <v>16</v>
      </c>
      <c r="E272" s="64" t="s">
        <v>64</v>
      </c>
      <c r="F272" s="55">
        <v>46140.0</v>
      </c>
    </row>
    <row r="273" ht="19.5" customHeight="1">
      <c r="A273" s="61"/>
      <c r="B273" s="62" t="s">
        <v>153</v>
      </c>
      <c r="C273" s="63">
        <v>1.0</v>
      </c>
      <c r="D273" s="49">
        <f>IF(B273="","",VLOOKUP(B273,Magazzino!$B$4:$D$987,2))</f>
        <v>8</v>
      </c>
      <c r="E273" s="64" t="s">
        <v>194</v>
      </c>
      <c r="F273" s="55">
        <v>46140.0</v>
      </c>
    </row>
    <row r="274" ht="19.5" customHeight="1">
      <c r="A274" s="61"/>
      <c r="B274" s="62" t="s">
        <v>28</v>
      </c>
      <c r="C274" s="63">
        <v>1.0</v>
      </c>
      <c r="D274" s="49">
        <f>IF(B274="","",VLOOKUP(B274,Magazzino!$B$4:$D$987,2))</f>
        <v>40</v>
      </c>
      <c r="E274" s="64" t="s">
        <v>194</v>
      </c>
      <c r="F274" s="55">
        <v>46140.0</v>
      </c>
    </row>
    <row r="275" ht="19.5" customHeight="1">
      <c r="A275" s="61"/>
      <c r="B275" s="62" t="s">
        <v>66</v>
      </c>
      <c r="C275" s="63">
        <v>4.0</v>
      </c>
      <c r="D275" s="49">
        <f>IF(B275="","",VLOOKUP(B275,Magazzino!$B$4:$D$987,2))</f>
        <v>-2</v>
      </c>
      <c r="E275" s="64" t="s">
        <v>64</v>
      </c>
      <c r="F275" s="55">
        <v>46140.0</v>
      </c>
    </row>
    <row r="276" ht="19.5" customHeight="1">
      <c r="A276" s="61"/>
      <c r="B276" s="62" t="s">
        <v>99</v>
      </c>
      <c r="C276" s="63">
        <v>4.0</v>
      </c>
      <c r="D276" s="49">
        <f>IF(B276="","",VLOOKUP(B276,Magazzino!$B$4:$D$987,2))</f>
        <v>-2</v>
      </c>
      <c r="E276" s="64" t="s">
        <v>64</v>
      </c>
      <c r="F276" s="55">
        <v>46140.0</v>
      </c>
    </row>
    <row r="277" ht="19.5" customHeight="1">
      <c r="A277" s="61"/>
      <c r="B277" s="62" t="s">
        <v>77</v>
      </c>
      <c r="C277" s="63">
        <v>1.0</v>
      </c>
      <c r="D277" s="49">
        <f>IF(B277="","",VLOOKUP(B277,Magazzino!$B$4:$D$987,2))</f>
        <v>42</v>
      </c>
      <c r="E277" s="64" t="s">
        <v>250</v>
      </c>
      <c r="F277" s="55">
        <v>46142.0</v>
      </c>
    </row>
    <row r="278" ht="19.5" customHeight="1">
      <c r="A278" s="61"/>
      <c r="B278" s="62" t="s">
        <v>80</v>
      </c>
      <c r="C278" s="63">
        <v>1.0</v>
      </c>
      <c r="D278" s="49">
        <f>IF(B278="","",VLOOKUP(B278,Magazzino!$B$4:$D$987,2))</f>
        <v>9</v>
      </c>
      <c r="E278" s="64" t="s">
        <v>233</v>
      </c>
      <c r="F278" s="55">
        <v>46142.0</v>
      </c>
    </row>
    <row r="279" ht="19.5" customHeight="1">
      <c r="A279" s="61"/>
      <c r="B279" s="62" t="s">
        <v>130</v>
      </c>
      <c r="C279" s="63">
        <v>1.0</v>
      </c>
      <c r="D279" s="49">
        <f>IF(B279="","",VLOOKUP(B279,Magazzino!$B$4:$D$987,2))</f>
        <v>-2</v>
      </c>
      <c r="E279" s="64" t="s">
        <v>233</v>
      </c>
      <c r="F279" s="55">
        <v>46142.0</v>
      </c>
    </row>
    <row r="280" ht="19.5" customHeight="1">
      <c r="A280" s="61"/>
      <c r="B280" s="62" t="s">
        <v>32</v>
      </c>
      <c r="C280" s="63">
        <v>1.0</v>
      </c>
      <c r="D280" s="49">
        <f>IF(B280="","",VLOOKUP(B280,Magazzino!$B$4:$D$987,2))</f>
        <v>-2</v>
      </c>
      <c r="E280" s="64" t="s">
        <v>233</v>
      </c>
      <c r="F280" s="55">
        <v>46142.0</v>
      </c>
    </row>
    <row r="281" ht="19.5" customHeight="1">
      <c r="A281" s="61"/>
      <c r="B281" s="62" t="s">
        <v>19</v>
      </c>
      <c r="C281" s="63">
        <v>1.0</v>
      </c>
      <c r="D281" s="49">
        <f>IF(B281="","",VLOOKUP(B281,Magazzino!$B$4:$D$987,2))</f>
        <v>3</v>
      </c>
      <c r="E281" s="64" t="s">
        <v>233</v>
      </c>
      <c r="F281" s="55">
        <v>46142.0</v>
      </c>
    </row>
    <row r="282" ht="19.5" customHeight="1">
      <c r="A282" s="61"/>
      <c r="B282" s="62" t="s">
        <v>22</v>
      </c>
      <c r="C282" s="63">
        <v>2.0</v>
      </c>
      <c r="D282" s="49">
        <f>IF(B282="","",VLOOKUP(B282,Magazzino!$B$4:$D$987,2))</f>
        <v>5</v>
      </c>
      <c r="E282" s="64" t="s">
        <v>233</v>
      </c>
      <c r="F282" s="55">
        <v>46142.0</v>
      </c>
    </row>
    <row r="283" ht="19.5" customHeight="1">
      <c r="A283" s="61"/>
      <c r="B283" s="62" t="s">
        <v>118</v>
      </c>
      <c r="C283" s="63">
        <v>1.0</v>
      </c>
      <c r="D283" s="49">
        <f>IF(B283="","",VLOOKUP(B283,Magazzino!$B$4:$D$987,2))</f>
        <v>-2</v>
      </c>
      <c r="E283" s="64" t="s">
        <v>233</v>
      </c>
      <c r="F283" s="55">
        <v>46142.0</v>
      </c>
    </row>
    <row r="284" ht="19.5" customHeight="1">
      <c r="A284" s="61"/>
      <c r="B284" s="62" t="s">
        <v>70</v>
      </c>
      <c r="C284" s="63">
        <v>2.0</v>
      </c>
      <c r="D284" s="49">
        <f>IF(B284="","",VLOOKUP(B284,Magazzino!$B$4:$D$987,2))</f>
        <v>5</v>
      </c>
      <c r="E284" s="64" t="s">
        <v>233</v>
      </c>
      <c r="F284" s="55">
        <v>46142.0</v>
      </c>
    </row>
    <row r="285" ht="19.5" customHeight="1">
      <c r="A285" s="61"/>
      <c r="B285" s="62" t="s">
        <v>28</v>
      </c>
      <c r="C285" s="63">
        <v>1.0</v>
      </c>
      <c r="D285" s="49">
        <f>IF(B285="","",VLOOKUP(B285,Magazzino!$B$4:$D$987,2))</f>
        <v>40</v>
      </c>
      <c r="E285" s="64" t="s">
        <v>233</v>
      </c>
      <c r="F285" s="55">
        <v>46142.0</v>
      </c>
    </row>
    <row r="286" ht="19.5" customHeight="1">
      <c r="A286" s="61"/>
      <c r="B286" s="62" t="s">
        <v>195</v>
      </c>
      <c r="C286" s="63">
        <v>1.0</v>
      </c>
      <c r="D286" s="49">
        <f>IF(B286="","",VLOOKUP(B286,Magazzino!$B$4:$D$987,2))</f>
        <v>0</v>
      </c>
      <c r="E286" s="64" t="s">
        <v>233</v>
      </c>
      <c r="F286" s="55">
        <v>46142.0</v>
      </c>
    </row>
    <row r="287" ht="19.5" customHeight="1">
      <c r="A287" s="61"/>
      <c r="B287" s="62" t="s">
        <v>40</v>
      </c>
      <c r="C287" s="63">
        <v>1.0</v>
      </c>
      <c r="D287" s="49">
        <f>IF(B287="","",VLOOKUP(B287,Magazzino!$B$4:$D$987,2))</f>
        <v>17</v>
      </c>
      <c r="E287" s="64" t="s">
        <v>233</v>
      </c>
      <c r="F287" s="55">
        <v>46142.0</v>
      </c>
    </row>
    <row r="288" ht="19.5" customHeight="1">
      <c r="A288" s="61"/>
      <c r="B288" s="62" t="s">
        <v>178</v>
      </c>
      <c r="C288" s="63">
        <v>1.0</v>
      </c>
      <c r="D288" s="49">
        <f>IF(B288="","",VLOOKUP(B288,Magazzino!$B$4:$D$987,2))</f>
        <v>-3</v>
      </c>
      <c r="E288" s="64" t="s">
        <v>233</v>
      </c>
      <c r="F288" s="55">
        <v>46142.0</v>
      </c>
    </row>
    <row r="289" ht="19.5" customHeight="1">
      <c r="A289" s="61"/>
      <c r="B289" s="62" t="s">
        <v>60</v>
      </c>
      <c r="C289" s="63">
        <v>1.0</v>
      </c>
      <c r="D289" s="49">
        <f>IF(B289="","",VLOOKUP(B289,Magazzino!$B$4:$D$987,2))</f>
        <v>6</v>
      </c>
      <c r="E289" s="64" t="s">
        <v>233</v>
      </c>
      <c r="F289" s="55">
        <v>46142.0</v>
      </c>
    </row>
    <row r="290" ht="19.5" customHeight="1">
      <c r="A290" s="61"/>
      <c r="B290" s="62" t="s">
        <v>134</v>
      </c>
      <c r="C290" s="63">
        <v>1.0</v>
      </c>
      <c r="D290" s="49">
        <f>IF(B290="","",VLOOKUP(B290,Magazzino!$B$4:$D$987,2))</f>
        <v>30</v>
      </c>
      <c r="E290" s="64" t="s">
        <v>233</v>
      </c>
      <c r="F290" s="55">
        <v>46142.0</v>
      </c>
    </row>
    <row r="291" ht="19.5" customHeight="1">
      <c r="A291" s="61"/>
      <c r="B291" s="62" t="s">
        <v>119</v>
      </c>
      <c r="C291" s="63">
        <v>1.0</v>
      </c>
      <c r="D291" s="49">
        <f>IF(B291="","",VLOOKUP(B291,Magazzino!$B$4:$D$987,2))</f>
        <v>0</v>
      </c>
      <c r="E291" s="64" t="s">
        <v>233</v>
      </c>
      <c r="F291" s="55">
        <v>46142.0</v>
      </c>
    </row>
    <row r="292" ht="19.5" customHeight="1">
      <c r="A292" s="61"/>
      <c r="B292" s="62" t="s">
        <v>249</v>
      </c>
      <c r="C292" s="63">
        <v>2.0</v>
      </c>
      <c r="D292" s="49">
        <f>IF(B292="","",VLOOKUP(B292,Magazzino!$B$4:$D$987,2))</f>
        <v>5</v>
      </c>
      <c r="E292" s="64" t="s">
        <v>64</v>
      </c>
      <c r="F292" s="55">
        <v>46144.0</v>
      </c>
    </row>
    <row r="293" ht="19.5" customHeight="1">
      <c r="A293" s="61"/>
      <c r="B293" s="62" t="s">
        <v>124</v>
      </c>
      <c r="C293" s="63">
        <v>1.0</v>
      </c>
      <c r="D293" s="49">
        <f>IF(B293="","",VLOOKUP(B293,Magazzino!$B$4:$D$987,2))</f>
        <v>9</v>
      </c>
      <c r="E293" s="64" t="s">
        <v>64</v>
      </c>
      <c r="F293" s="55">
        <v>46144.0</v>
      </c>
    </row>
    <row r="294" ht="19.5" customHeight="1">
      <c r="A294" s="61"/>
      <c r="B294" s="62" t="s">
        <v>126</v>
      </c>
      <c r="C294" s="63">
        <v>1.0</v>
      </c>
      <c r="D294" s="49">
        <f>IF(B294="","",VLOOKUP(B294,Magazzino!$B$4:$D$987,2))</f>
        <v>2</v>
      </c>
      <c r="E294" s="64" t="s">
        <v>64</v>
      </c>
      <c r="F294" s="55">
        <v>46144.0</v>
      </c>
    </row>
    <row r="295" ht="19.5" customHeight="1">
      <c r="A295" s="61"/>
      <c r="B295" s="62" t="s">
        <v>178</v>
      </c>
      <c r="C295" s="63">
        <v>1.0</v>
      </c>
      <c r="D295" s="49">
        <f>IF(B295="","",VLOOKUP(B295,Magazzino!$B$4:$D$987,2))</f>
        <v>-3</v>
      </c>
      <c r="E295" s="64" t="s">
        <v>64</v>
      </c>
      <c r="F295" s="55">
        <v>46146.0</v>
      </c>
    </row>
    <row r="296" ht="19.5" customHeight="1">
      <c r="A296" s="61"/>
      <c r="B296" s="62" t="s">
        <v>16</v>
      </c>
      <c r="C296" s="63">
        <v>2.0</v>
      </c>
      <c r="D296" s="49">
        <f>IF(B296="","",VLOOKUP(B296,Magazzino!$B$4:$D$987,2))</f>
        <v>10</v>
      </c>
      <c r="E296" s="64" t="s">
        <v>64</v>
      </c>
      <c r="F296" s="55">
        <v>46146.0</v>
      </c>
    </row>
    <row r="297" ht="19.5" customHeight="1">
      <c r="A297" s="61"/>
      <c r="B297" s="62" t="s">
        <v>119</v>
      </c>
      <c r="C297" s="63">
        <v>2.0</v>
      </c>
      <c r="D297" s="49">
        <f>IF(B297="","",VLOOKUP(B297,Magazzino!$B$4:$D$987,2))</f>
        <v>0</v>
      </c>
      <c r="E297" s="64" t="s">
        <v>64</v>
      </c>
      <c r="F297" s="55">
        <v>46146.0</v>
      </c>
    </row>
    <row r="298" ht="19.5" customHeight="1">
      <c r="A298" s="61"/>
      <c r="B298" s="62" t="s">
        <v>28</v>
      </c>
      <c r="C298" s="63">
        <v>2.0</v>
      </c>
      <c r="D298" s="49">
        <f>IF(B298="","",VLOOKUP(B298,Magazzino!$B$4:$D$987,2))</f>
        <v>40</v>
      </c>
      <c r="E298" s="64" t="s">
        <v>64</v>
      </c>
      <c r="F298" s="55">
        <v>46146.0</v>
      </c>
    </row>
    <row r="299" ht="19.5" customHeight="1">
      <c r="A299" s="61"/>
      <c r="B299" s="62" t="s">
        <v>77</v>
      </c>
      <c r="C299" s="63">
        <v>1.0</v>
      </c>
      <c r="D299" s="49">
        <f>IF(B299="","",VLOOKUP(B299,Magazzino!$B$4:$D$987,2))</f>
        <v>42</v>
      </c>
      <c r="E299" s="64" t="s">
        <v>250</v>
      </c>
      <c r="F299" s="55">
        <v>46146.0</v>
      </c>
    </row>
    <row r="300" ht="19.5" customHeight="1">
      <c r="A300" s="61"/>
      <c r="B300" s="62" t="s">
        <v>21</v>
      </c>
      <c r="C300" s="63">
        <v>4.0</v>
      </c>
      <c r="D300" s="49">
        <f>IF(B300="","",VLOOKUP(B300,Magazzino!$B$4:$D$987,2))</f>
        <v>75</v>
      </c>
      <c r="E300" s="64" t="s">
        <v>64</v>
      </c>
      <c r="F300" s="55">
        <v>46147.0</v>
      </c>
    </row>
    <row r="301" ht="19.5" customHeight="1">
      <c r="A301" s="61"/>
      <c r="B301" s="62" t="s">
        <v>253</v>
      </c>
      <c r="C301" s="63">
        <v>2.0</v>
      </c>
      <c r="D301" s="49">
        <f>IF(B301="","",VLOOKUP(B301,Magazzino!$B$4:$D$987,2))</f>
        <v>2</v>
      </c>
      <c r="E301" s="64" t="s">
        <v>64</v>
      </c>
      <c r="F301" s="55">
        <v>46147.0</v>
      </c>
    </row>
    <row r="302" ht="19.5" customHeight="1">
      <c r="A302" s="61"/>
      <c r="B302" s="62" t="s">
        <v>121</v>
      </c>
      <c r="C302" s="63">
        <v>2.0</v>
      </c>
      <c r="D302" s="49">
        <f>IF(B302="","",VLOOKUP(B302,Magazzino!$B$4:$D$987,2))</f>
        <v>11</v>
      </c>
      <c r="E302" s="64" t="s">
        <v>64</v>
      </c>
      <c r="F302" s="55">
        <v>46148.0</v>
      </c>
    </row>
    <row r="303" ht="19.5" customHeight="1">
      <c r="A303" s="61"/>
      <c r="B303" s="62" t="s">
        <v>72</v>
      </c>
      <c r="C303" s="63">
        <v>1.0</v>
      </c>
      <c r="D303" s="49">
        <f>IF(B303="","",VLOOKUP(B303,Magazzino!$B$4:$D$987,2))</f>
        <v>0</v>
      </c>
      <c r="E303" s="64" t="s">
        <v>64</v>
      </c>
      <c r="F303" s="55">
        <v>46148.0</v>
      </c>
    </row>
    <row r="304" ht="19.5" customHeight="1">
      <c r="A304" s="61"/>
      <c r="B304" s="62" t="s">
        <v>53</v>
      </c>
      <c r="C304" s="63">
        <v>4.0</v>
      </c>
      <c r="D304" s="49">
        <f>IF(B304="","",VLOOKUP(B304,Magazzino!$B$4:$D$987,2))</f>
        <v>24</v>
      </c>
      <c r="E304" s="64" t="s">
        <v>64</v>
      </c>
      <c r="F304" s="55">
        <v>46148.0</v>
      </c>
    </row>
    <row r="305" ht="19.5" customHeight="1">
      <c r="A305" s="61"/>
      <c r="B305" s="62" t="s">
        <v>73</v>
      </c>
      <c r="C305" s="63">
        <v>1.0</v>
      </c>
      <c r="D305" s="49">
        <f>IF(B305="","",VLOOKUP(B305,Magazzino!$B$4:$D$987,2))</f>
        <v>9</v>
      </c>
      <c r="E305" s="64" t="s">
        <v>111</v>
      </c>
      <c r="F305" s="55">
        <v>46148.0</v>
      </c>
    </row>
    <row r="306" ht="19.5" customHeight="1">
      <c r="A306" s="61"/>
      <c r="B306" s="62" t="s">
        <v>98</v>
      </c>
      <c r="C306" s="63">
        <v>1.0</v>
      </c>
      <c r="D306" s="49">
        <f>IF(B306="","",VLOOKUP(B306,Magazzino!$B$4:$D$987,2))</f>
        <v>6</v>
      </c>
      <c r="E306" s="64" t="s">
        <v>194</v>
      </c>
      <c r="F306" s="55">
        <v>46150.0</v>
      </c>
    </row>
    <row r="307" ht="19.5" customHeight="1">
      <c r="A307" s="61"/>
      <c r="B307" s="62" t="s">
        <v>33</v>
      </c>
      <c r="C307" s="63">
        <v>1.0</v>
      </c>
      <c r="D307" s="49">
        <f>IF(B307="","",VLOOKUP(B307,Magazzino!$B$4:$D$987,2))</f>
        <v>1</v>
      </c>
      <c r="E307" s="64" t="s">
        <v>64</v>
      </c>
      <c r="F307" s="55">
        <v>46151.0</v>
      </c>
    </row>
    <row r="308" ht="19.5" customHeight="1">
      <c r="A308" s="61"/>
      <c r="B308" s="62" t="s">
        <v>28</v>
      </c>
      <c r="C308" s="63">
        <v>2.0</v>
      </c>
      <c r="D308" s="49">
        <f>IF(B308="","",VLOOKUP(B308,Magazzino!$B$4:$D$987,2))</f>
        <v>40</v>
      </c>
      <c r="E308" s="64" t="s">
        <v>64</v>
      </c>
      <c r="F308" s="55">
        <v>46151.0</v>
      </c>
    </row>
    <row r="309" ht="19.5" customHeight="1">
      <c r="A309" s="61"/>
      <c r="B309" s="62" t="s">
        <v>44</v>
      </c>
      <c r="C309" s="63">
        <v>2.0</v>
      </c>
      <c r="D309" s="49">
        <f>IF(B309="","",VLOOKUP(B309,Magazzino!$B$4:$D$987,2))</f>
        <v>16</v>
      </c>
      <c r="E309" s="64" t="s">
        <v>64</v>
      </c>
      <c r="F309" s="55">
        <v>46151.0</v>
      </c>
    </row>
    <row r="310" ht="19.5" customHeight="1">
      <c r="A310" s="61"/>
      <c r="B310" s="62" t="s">
        <v>218</v>
      </c>
      <c r="C310" s="63">
        <v>2.0</v>
      </c>
      <c r="D310" s="49">
        <f>IF(B310="","",VLOOKUP(B310,Magazzino!$B$4:$D$987,2))</f>
        <v>0</v>
      </c>
      <c r="E310" s="64" t="s">
        <v>64</v>
      </c>
      <c r="F310" s="55">
        <v>46151.0</v>
      </c>
    </row>
    <row r="311" ht="19.5" customHeight="1">
      <c r="A311" s="61"/>
      <c r="B311" s="62" t="s">
        <v>73</v>
      </c>
      <c r="C311" s="63">
        <v>1.0</v>
      </c>
      <c r="D311" s="49">
        <f>IF(B311="","",VLOOKUP(B311,Magazzino!$B$4:$D$987,2))</f>
        <v>9</v>
      </c>
      <c r="E311" s="64" t="s">
        <v>64</v>
      </c>
      <c r="F311" s="55">
        <v>46151.0</v>
      </c>
    </row>
    <row r="312" ht="19.5" customHeight="1">
      <c r="A312" s="61"/>
      <c r="B312" s="62" t="s">
        <v>77</v>
      </c>
      <c r="C312" s="63">
        <v>1.0</v>
      </c>
      <c r="D312" s="49">
        <f>IF(B312="","",VLOOKUP(B312,Magazzino!$B$4:$D$987,2))</f>
        <v>42</v>
      </c>
      <c r="E312" s="64" t="s">
        <v>64</v>
      </c>
      <c r="F312" s="55">
        <v>46151.0</v>
      </c>
    </row>
    <row r="313" ht="19.5" customHeight="1">
      <c r="A313" s="61"/>
      <c r="B313" s="62" t="s">
        <v>56</v>
      </c>
      <c r="C313" s="63">
        <v>2.0</v>
      </c>
      <c r="D313" s="49">
        <f>IF(B313="","",VLOOKUP(B313,Magazzino!$B$4:$D$987,2))</f>
        <v>-2</v>
      </c>
      <c r="E313" s="64" t="s">
        <v>64</v>
      </c>
      <c r="F313" s="55">
        <v>46153.0</v>
      </c>
    </row>
    <row r="314" ht="19.5" customHeight="1">
      <c r="A314" s="61"/>
      <c r="B314" s="62" t="s">
        <v>54</v>
      </c>
      <c r="C314" s="63">
        <v>2.0</v>
      </c>
      <c r="D314" s="49">
        <f>IF(B314="","",VLOOKUP(B314,Magazzino!$B$4:$D$987,2))</f>
        <v>-2</v>
      </c>
      <c r="E314" s="64" t="s">
        <v>64</v>
      </c>
      <c r="F314" s="55">
        <v>46153.0</v>
      </c>
    </row>
    <row r="315" ht="19.5" customHeight="1">
      <c r="A315" s="61"/>
      <c r="B315" s="62" t="s">
        <v>51</v>
      </c>
      <c r="C315" s="63">
        <v>2.0</v>
      </c>
      <c r="D315" s="49">
        <f>IF(B315="","",VLOOKUP(B315,Magazzino!$B$4:$D$987,2))</f>
        <v>-2</v>
      </c>
      <c r="E315" s="64" t="s">
        <v>64</v>
      </c>
      <c r="F315" s="55">
        <v>46153.0</v>
      </c>
    </row>
    <row r="316" ht="19.5" customHeight="1">
      <c r="A316" s="61"/>
      <c r="B316" s="62" t="s">
        <v>80</v>
      </c>
      <c r="C316" s="63">
        <v>1.0</v>
      </c>
      <c r="D316" s="49">
        <f>IF(B316="","",VLOOKUP(B316,Magazzino!$B$4:$D$987,2))</f>
        <v>9</v>
      </c>
      <c r="E316" s="64" t="s">
        <v>64</v>
      </c>
      <c r="F316" s="55">
        <v>46153.0</v>
      </c>
    </row>
    <row r="317" ht="19.5" customHeight="1">
      <c r="A317" s="61"/>
      <c r="B317" s="62" t="s">
        <v>213</v>
      </c>
      <c r="C317" s="63">
        <v>1.0</v>
      </c>
      <c r="D317" s="49">
        <f>IF(B317="","",VLOOKUP(B317,Magazzino!$B$4:$D$987,2))</f>
        <v>9</v>
      </c>
      <c r="E317" s="64" t="s">
        <v>64</v>
      </c>
      <c r="F317" s="55">
        <v>46154.0</v>
      </c>
    </row>
    <row r="318" ht="19.5" customHeight="1">
      <c r="A318" s="61"/>
      <c r="B318" s="62" t="s">
        <v>21</v>
      </c>
      <c r="C318" s="63">
        <v>4.0</v>
      </c>
      <c r="D318" s="49">
        <f>IF(B318="","",VLOOKUP(B318,Magazzino!$B$4:$D$987,2))</f>
        <v>75</v>
      </c>
      <c r="E318" s="64" t="s">
        <v>64</v>
      </c>
      <c r="F318" s="55">
        <v>46154.0</v>
      </c>
    </row>
    <row r="319" ht="19.5" customHeight="1">
      <c r="A319" s="61"/>
      <c r="B319" s="62" t="s">
        <v>16</v>
      </c>
      <c r="C319" s="63">
        <v>2.0</v>
      </c>
      <c r="D319" s="49">
        <f>IF(B319="","",VLOOKUP(B319,Magazzino!$B$4:$D$987,2))</f>
        <v>10</v>
      </c>
      <c r="E319" s="64" t="s">
        <v>64</v>
      </c>
      <c r="F319" s="55">
        <v>46154.0</v>
      </c>
    </row>
    <row r="320" ht="19.5" customHeight="1">
      <c r="A320" s="61"/>
      <c r="B320" s="62" t="s">
        <v>119</v>
      </c>
      <c r="C320" s="63">
        <v>2.0</v>
      </c>
      <c r="D320" s="49">
        <f>IF(B320="","",VLOOKUP(B320,Magazzino!$B$4:$D$987,2))</f>
        <v>0</v>
      </c>
      <c r="E320" s="64" t="s">
        <v>64</v>
      </c>
      <c r="F320" s="55">
        <v>46155.0</v>
      </c>
    </row>
    <row r="321" ht="19.5" customHeight="1">
      <c r="A321" s="61"/>
      <c r="B321" s="62" t="s">
        <v>188</v>
      </c>
      <c r="C321" s="63">
        <v>2.0</v>
      </c>
      <c r="D321" s="49">
        <f>IF(B321="","",VLOOKUP(B321,Magazzino!$B$4:$D$987,2))</f>
        <v>-2</v>
      </c>
      <c r="E321" s="64" t="s">
        <v>64</v>
      </c>
      <c r="F321" s="55">
        <v>46155.0</v>
      </c>
    </row>
    <row r="322" ht="19.5" customHeight="1">
      <c r="A322" s="61"/>
      <c r="B322" s="62" t="s">
        <v>135</v>
      </c>
      <c r="C322" s="63">
        <v>1.0</v>
      </c>
      <c r="D322" s="49">
        <f>IF(B322="","",VLOOKUP(B322,Magazzino!$B$4:$D$987,2))</f>
        <v>12</v>
      </c>
      <c r="E322" s="64" t="s">
        <v>64</v>
      </c>
      <c r="F322" s="55">
        <v>46155.0</v>
      </c>
    </row>
    <row r="323" ht="19.5" customHeight="1">
      <c r="A323" s="61"/>
      <c r="B323" s="62" t="s">
        <v>66</v>
      </c>
      <c r="C323" s="63">
        <v>4.0</v>
      </c>
      <c r="D323" s="49">
        <f>IF(B323="","",VLOOKUP(B323,Magazzino!$B$4:$D$987,2))</f>
        <v>-2</v>
      </c>
      <c r="E323" s="64" t="s">
        <v>64</v>
      </c>
      <c r="F323" s="55">
        <v>46155.0</v>
      </c>
    </row>
    <row r="324" ht="19.5" customHeight="1">
      <c r="A324" s="61"/>
      <c r="B324" s="62" t="s">
        <v>53</v>
      </c>
      <c r="C324" s="63">
        <v>4.0</v>
      </c>
      <c r="D324" s="49">
        <f>IF(B324="","",VLOOKUP(B324,Magazzino!$B$4:$D$987,2))</f>
        <v>24</v>
      </c>
      <c r="E324" s="64" t="s">
        <v>64</v>
      </c>
      <c r="F324" s="55">
        <v>46155.0</v>
      </c>
    </row>
    <row r="325" ht="19.5" customHeight="1">
      <c r="A325" s="61"/>
      <c r="B325" s="62" t="s">
        <v>22</v>
      </c>
      <c r="C325" s="63">
        <v>2.0</v>
      </c>
      <c r="D325" s="49">
        <f>IF(B325="","",VLOOKUP(B325,Magazzino!$B$4:$D$987,2))</f>
        <v>5</v>
      </c>
      <c r="E325" s="64" t="s">
        <v>64</v>
      </c>
      <c r="F325" s="55">
        <v>46156.0</v>
      </c>
    </row>
    <row r="326" ht="19.5" customHeight="1">
      <c r="A326" s="61"/>
      <c r="B326" s="62" t="s">
        <v>77</v>
      </c>
      <c r="C326" s="63">
        <v>1.0</v>
      </c>
      <c r="D326" s="49">
        <f>IF(B326="","",VLOOKUP(B326,Magazzino!$B$4:$D$987,2))</f>
        <v>42</v>
      </c>
      <c r="E326" s="64" t="s">
        <v>250</v>
      </c>
      <c r="F326" s="55">
        <v>46156.0</v>
      </c>
    </row>
    <row r="327" ht="19.5" customHeight="1">
      <c r="A327" s="61"/>
      <c r="B327" s="62" t="s">
        <v>212</v>
      </c>
      <c r="C327" s="63">
        <v>1.0</v>
      </c>
      <c r="D327" s="49">
        <f>IF(B327="","",VLOOKUP(B327,Magazzino!$B$4:$D$987,2))</f>
        <v>1</v>
      </c>
      <c r="E327" s="64" t="s">
        <v>129</v>
      </c>
      <c r="F327" s="55">
        <v>46157.0</v>
      </c>
    </row>
    <row r="328" ht="19.5" customHeight="1">
      <c r="A328" s="61"/>
      <c r="B328" s="62" t="s">
        <v>80</v>
      </c>
      <c r="C328" s="63">
        <v>1.0</v>
      </c>
      <c r="D328" s="49">
        <f>IF(B328="","",VLOOKUP(B328,Magazzino!$B$4:$D$987,2))</f>
        <v>9</v>
      </c>
      <c r="E328" s="64" t="s">
        <v>233</v>
      </c>
      <c r="F328" s="55">
        <v>46158.0</v>
      </c>
    </row>
    <row r="329" ht="19.5" customHeight="1">
      <c r="A329" s="61"/>
      <c r="B329" s="62" t="s">
        <v>130</v>
      </c>
      <c r="C329" s="63">
        <v>1.0</v>
      </c>
      <c r="D329" s="49">
        <f>IF(B329="","",VLOOKUP(B329,Magazzino!$B$4:$D$987,2))</f>
        <v>-2</v>
      </c>
      <c r="E329" s="64" t="s">
        <v>233</v>
      </c>
      <c r="F329" s="55">
        <v>46158.0</v>
      </c>
    </row>
    <row r="330" ht="19.5" customHeight="1">
      <c r="A330" s="61"/>
      <c r="B330" s="62" t="s">
        <v>32</v>
      </c>
      <c r="C330" s="63">
        <v>1.0</v>
      </c>
      <c r="D330" s="49">
        <f>IF(B330="","",VLOOKUP(B330,Magazzino!$B$4:$D$987,2))</f>
        <v>-2</v>
      </c>
      <c r="E330" s="64" t="s">
        <v>233</v>
      </c>
      <c r="F330" s="55">
        <v>46158.0</v>
      </c>
    </row>
    <row r="331" ht="19.5" customHeight="1">
      <c r="A331" s="61"/>
      <c r="B331" s="62" t="s">
        <v>110</v>
      </c>
      <c r="C331" s="63">
        <v>2.0</v>
      </c>
      <c r="D331" s="49">
        <f>IF(B331="","",VLOOKUP(B331,Magazzino!$B$4:$D$987,2))</f>
        <v>-4</v>
      </c>
      <c r="E331" s="64" t="s">
        <v>233</v>
      </c>
      <c r="F331" s="55">
        <v>46158.0</v>
      </c>
    </row>
    <row r="332" ht="19.5" customHeight="1">
      <c r="A332" s="61"/>
      <c r="B332" s="62" t="s">
        <v>19</v>
      </c>
      <c r="C332" s="63">
        <v>2.0</v>
      </c>
      <c r="D332" s="49">
        <f>IF(B332="","",VLOOKUP(B332,Magazzino!$B$4:$D$987,2))</f>
        <v>3</v>
      </c>
      <c r="E332" s="64" t="s">
        <v>233</v>
      </c>
      <c r="F332" s="55">
        <v>46158.0</v>
      </c>
    </row>
    <row r="333" ht="19.5" customHeight="1">
      <c r="A333" s="61"/>
      <c r="B333" s="62" t="s">
        <v>73</v>
      </c>
      <c r="C333" s="63">
        <v>1.0</v>
      </c>
      <c r="D333" s="49">
        <f>IF(B333="","",VLOOKUP(B333,Magazzino!$B$4:$D$987,2))</f>
        <v>9</v>
      </c>
      <c r="E333" s="64" t="s">
        <v>233</v>
      </c>
      <c r="F333" s="55">
        <v>46158.0</v>
      </c>
    </row>
    <row r="334" ht="19.5" customHeight="1">
      <c r="A334" s="61"/>
      <c r="B334" s="62" t="s">
        <v>40</v>
      </c>
      <c r="C334" s="63">
        <v>1.0</v>
      </c>
      <c r="D334" s="49">
        <f>IF(B334="","",VLOOKUP(B334,Magazzino!$B$4:$D$987,2))</f>
        <v>17</v>
      </c>
      <c r="E334" s="64" t="s">
        <v>233</v>
      </c>
      <c r="F334" s="55">
        <v>46158.0</v>
      </c>
    </row>
    <row r="335" ht="19.5" customHeight="1">
      <c r="A335" s="61"/>
      <c r="B335" s="62" t="s">
        <v>45</v>
      </c>
      <c r="C335" s="63">
        <v>2.0</v>
      </c>
      <c r="D335" s="49">
        <f>IF(B335="","",VLOOKUP(B335,Magazzino!$B$4:$D$987,2))</f>
        <v>102</v>
      </c>
      <c r="E335" s="64" t="s">
        <v>233</v>
      </c>
      <c r="F335" s="55">
        <v>46158.0</v>
      </c>
    </row>
    <row r="336" ht="19.5" customHeight="1">
      <c r="A336" s="61"/>
      <c r="B336" s="62" t="s">
        <v>28</v>
      </c>
      <c r="C336" s="63">
        <v>1.0</v>
      </c>
      <c r="D336" s="49">
        <f>IF(B336="","",VLOOKUP(B336,Magazzino!$B$4:$D$987,2))</f>
        <v>40</v>
      </c>
      <c r="E336" s="64" t="s">
        <v>233</v>
      </c>
      <c r="F336" s="55">
        <v>46158.0</v>
      </c>
    </row>
    <row r="337" ht="19.5" customHeight="1">
      <c r="A337" s="61"/>
      <c r="B337" s="62" t="s">
        <v>80</v>
      </c>
      <c r="C337" s="63">
        <v>1.0</v>
      </c>
      <c r="D337" s="49">
        <f>IF(B337="","",VLOOKUP(B337,Magazzino!$B$4:$D$987,2))</f>
        <v>9</v>
      </c>
      <c r="E337" s="64" t="s">
        <v>233</v>
      </c>
      <c r="F337" s="55">
        <v>46158.0</v>
      </c>
    </row>
    <row r="338" ht="19.5" customHeight="1">
      <c r="A338" s="61"/>
      <c r="B338" s="62" t="s">
        <v>119</v>
      </c>
      <c r="C338" s="63">
        <v>1.0</v>
      </c>
      <c r="D338" s="49">
        <f>IF(B338="","",VLOOKUP(B338,Magazzino!$B$4:$D$987,2))</f>
        <v>0</v>
      </c>
      <c r="E338" s="64" t="s">
        <v>233</v>
      </c>
      <c r="F338" s="55">
        <v>46158.0</v>
      </c>
    </row>
    <row r="339" ht="19.5" customHeight="1">
      <c r="A339" s="61"/>
      <c r="B339" s="62" t="s">
        <v>77</v>
      </c>
      <c r="C339" s="63">
        <v>1.0</v>
      </c>
      <c r="D339" s="49">
        <f>IF(B339="","",VLOOKUP(B339,Magazzino!$B$4:$D$987,2))</f>
        <v>42</v>
      </c>
      <c r="E339" s="64" t="s">
        <v>64</v>
      </c>
      <c r="F339" s="55">
        <v>46158.0</v>
      </c>
    </row>
    <row r="340" ht="19.5" customHeight="1">
      <c r="A340" s="61"/>
      <c r="B340" s="62" t="s">
        <v>16</v>
      </c>
      <c r="C340" s="63">
        <v>1.0</v>
      </c>
      <c r="D340" s="49">
        <f>IF(B340="","",VLOOKUP(B340,Magazzino!$B$4:$D$987,2))</f>
        <v>10</v>
      </c>
      <c r="E340" s="64" t="s">
        <v>64</v>
      </c>
      <c r="F340" s="55">
        <v>46158.0</v>
      </c>
    </row>
    <row r="341" ht="19.5" customHeight="1">
      <c r="A341" s="61"/>
      <c r="B341" s="62" t="s">
        <v>149</v>
      </c>
      <c r="C341" s="63">
        <v>4.0</v>
      </c>
      <c r="D341" s="49">
        <f>IF(B341="","",VLOOKUP(B341,Magazzino!$B$4:$D$987,2))</f>
        <v>11</v>
      </c>
      <c r="E341" s="64" t="s">
        <v>111</v>
      </c>
      <c r="F341" s="55">
        <v>46160.0</v>
      </c>
    </row>
    <row r="342" ht="19.5" customHeight="1">
      <c r="A342" s="61"/>
      <c r="B342" s="62" t="s">
        <v>120</v>
      </c>
      <c r="C342" s="63">
        <v>4.0</v>
      </c>
      <c r="D342" s="49">
        <f>IF(B342="","",VLOOKUP(B342,Magazzino!$B$4:$D$987,2))</f>
        <v>24</v>
      </c>
      <c r="E342" s="64" t="s">
        <v>64</v>
      </c>
      <c r="F342" s="55">
        <v>46160.0</v>
      </c>
    </row>
    <row r="343" ht="19.5" customHeight="1">
      <c r="A343" s="61"/>
      <c r="B343" s="62" t="s">
        <v>38</v>
      </c>
      <c r="C343" s="63">
        <v>4.0</v>
      </c>
      <c r="D343" s="49">
        <f>IF(B343="","",VLOOKUP(B343,Magazzino!$B$4:$D$987,2))</f>
        <v>12</v>
      </c>
      <c r="E343" s="64" t="s">
        <v>64</v>
      </c>
      <c r="F343" s="55">
        <v>46160.0</v>
      </c>
    </row>
    <row r="344" ht="19.5" customHeight="1">
      <c r="A344" s="61"/>
      <c r="B344" s="62" t="s">
        <v>77</v>
      </c>
      <c r="C344" s="63">
        <v>1.0</v>
      </c>
      <c r="D344" s="49">
        <f>IF(B344="","",VLOOKUP(B344,Magazzino!$B$4:$D$987,2))</f>
        <v>42</v>
      </c>
      <c r="E344" s="64" t="s">
        <v>250</v>
      </c>
      <c r="F344" s="55">
        <v>46161.0</v>
      </c>
    </row>
    <row r="345" ht="19.5" customHeight="1">
      <c r="A345" s="61"/>
      <c r="B345" s="62" t="s">
        <v>22</v>
      </c>
      <c r="C345" s="63">
        <v>1.0</v>
      </c>
      <c r="D345" s="49">
        <f>IF(B345="","",VLOOKUP(B345,Magazzino!$B$4:$D$987,2))</f>
        <v>5</v>
      </c>
      <c r="E345" s="64" t="s">
        <v>250</v>
      </c>
      <c r="F345" s="55">
        <v>46161.0</v>
      </c>
    </row>
    <row r="346" ht="19.5" customHeight="1">
      <c r="A346" s="61"/>
      <c r="B346" s="62" t="s">
        <v>60</v>
      </c>
      <c r="C346" s="63">
        <v>1.0</v>
      </c>
      <c r="D346" s="49">
        <f>IF(B346="","",VLOOKUP(B346,Magazzino!$B$4:$D$987,2))</f>
        <v>6</v>
      </c>
      <c r="E346" s="64" t="s">
        <v>129</v>
      </c>
      <c r="F346" s="55">
        <v>46162.0</v>
      </c>
    </row>
    <row r="347" ht="19.5" customHeight="1">
      <c r="A347" s="61"/>
      <c r="B347" s="62" t="s">
        <v>28</v>
      </c>
      <c r="C347" s="63">
        <v>1.0</v>
      </c>
      <c r="D347" s="49">
        <f>IF(B347="","",VLOOKUP(B347,Magazzino!$B$4:$D$987,2))</f>
        <v>40</v>
      </c>
      <c r="E347" s="64" t="s">
        <v>194</v>
      </c>
      <c r="F347" s="55">
        <v>46162.0</v>
      </c>
    </row>
    <row r="348" ht="19.5" customHeight="1">
      <c r="A348" s="61"/>
      <c r="B348" s="62" t="s">
        <v>28</v>
      </c>
      <c r="C348" s="63">
        <v>2.0</v>
      </c>
      <c r="D348" s="49">
        <f>IF(B348="","",VLOOKUP(B348,Magazzino!$B$4:$D$987,2))</f>
        <v>40</v>
      </c>
      <c r="E348" s="64" t="s">
        <v>64</v>
      </c>
      <c r="F348" s="55">
        <v>46162.0</v>
      </c>
    </row>
    <row r="349" ht="19.5" customHeight="1">
      <c r="A349" s="61"/>
      <c r="B349" s="62" t="s">
        <v>47</v>
      </c>
      <c r="C349" s="63">
        <v>2.0</v>
      </c>
      <c r="D349" s="49">
        <f>IF(B349="","",VLOOKUP(B349,Magazzino!$B$4:$D$987,2))</f>
        <v>5</v>
      </c>
      <c r="E349" s="64" t="s">
        <v>64</v>
      </c>
      <c r="F349" s="55">
        <v>46162.0</v>
      </c>
    </row>
    <row r="350" ht="19.5" customHeight="1">
      <c r="A350" s="61"/>
      <c r="B350" s="62" t="s">
        <v>122</v>
      </c>
      <c r="C350" s="63">
        <v>1.0</v>
      </c>
      <c r="D350" s="49">
        <f>IF(B350="","",VLOOKUP(B350,Magazzino!$B$4:$D$987,2))</f>
        <v>-8</v>
      </c>
      <c r="E350" s="64" t="s">
        <v>64</v>
      </c>
      <c r="F350" s="55">
        <v>46162.0</v>
      </c>
    </row>
    <row r="351" ht="19.5" customHeight="1">
      <c r="A351" s="61"/>
      <c r="B351" s="62" t="s">
        <v>249</v>
      </c>
      <c r="C351" s="63">
        <v>1.0</v>
      </c>
      <c r="D351" s="49">
        <f>IF(B351="","",VLOOKUP(B351,Magazzino!$B$4:$D$987,2))</f>
        <v>5</v>
      </c>
      <c r="E351" s="64" t="s">
        <v>64</v>
      </c>
      <c r="F351" s="55">
        <v>46162.0</v>
      </c>
    </row>
    <row r="352" ht="19.5" customHeight="1">
      <c r="A352" s="61"/>
      <c r="B352" s="62" t="s">
        <v>77</v>
      </c>
      <c r="C352" s="63">
        <v>1.0</v>
      </c>
      <c r="D352" s="49">
        <f>IF(B352="","",VLOOKUP(B352,Magazzino!$B$4:$D$987,2))</f>
        <v>42</v>
      </c>
      <c r="E352" s="64" t="s">
        <v>64</v>
      </c>
      <c r="F352" s="55">
        <v>46162.0</v>
      </c>
    </row>
    <row r="353" ht="19.5" customHeight="1">
      <c r="A353" s="61"/>
      <c r="B353" s="62" t="s">
        <v>21</v>
      </c>
      <c r="C353" s="63">
        <v>4.0</v>
      </c>
      <c r="D353" s="49">
        <f>IF(B353="","",VLOOKUP(B353,Magazzino!$B$4:$D$987,2))</f>
        <v>75</v>
      </c>
      <c r="E353" s="64" t="s">
        <v>64</v>
      </c>
      <c r="F353" s="55">
        <v>46162.0</v>
      </c>
    </row>
    <row r="354" ht="19.5" customHeight="1">
      <c r="A354" s="61"/>
      <c r="B354" s="62" t="s">
        <v>80</v>
      </c>
      <c r="C354" s="63">
        <v>2.0</v>
      </c>
      <c r="D354" s="49">
        <f>IF(B354="","",VLOOKUP(B354,Magazzino!$B$4:$D$987,2))</f>
        <v>9</v>
      </c>
      <c r="E354" s="64" t="s">
        <v>64</v>
      </c>
      <c r="F354" s="55">
        <v>46162.0</v>
      </c>
    </row>
    <row r="355" ht="19.5" customHeight="1">
      <c r="A355" s="61"/>
      <c r="B355" s="62" t="s">
        <v>44</v>
      </c>
      <c r="C355" s="63">
        <v>2.0</v>
      </c>
      <c r="D355" s="49">
        <f>IF(B355="","",VLOOKUP(B355,Magazzino!$B$4:$D$987,2))</f>
        <v>16</v>
      </c>
      <c r="E355" s="64" t="s">
        <v>64</v>
      </c>
      <c r="F355" s="55">
        <v>46162.0</v>
      </c>
    </row>
    <row r="356" ht="19.5" customHeight="1">
      <c r="A356" s="61"/>
      <c r="B356" s="62" t="s">
        <v>164</v>
      </c>
      <c r="C356" s="63">
        <v>2.0</v>
      </c>
      <c r="D356" s="49">
        <f>IF(B356="","",VLOOKUP(B356,Magazzino!$B$4:$D$987,2))</f>
        <v>-2</v>
      </c>
      <c r="E356" s="64" t="s">
        <v>64</v>
      </c>
      <c r="F356" s="55">
        <v>46162.0</v>
      </c>
    </row>
    <row r="357" ht="19.5" customHeight="1">
      <c r="A357" s="61"/>
      <c r="B357" s="62" t="s">
        <v>56</v>
      </c>
      <c r="C357" s="63">
        <v>2.0</v>
      </c>
      <c r="D357" s="49">
        <f>IF(B357="","",VLOOKUP(B357,Magazzino!$B$4:$D$987,2))</f>
        <v>-2</v>
      </c>
      <c r="E357" s="64" t="s">
        <v>64</v>
      </c>
      <c r="F357" s="55">
        <v>46162.0</v>
      </c>
    </row>
    <row r="358" ht="19.5" customHeight="1">
      <c r="A358" s="61"/>
      <c r="B358" s="62" t="s">
        <v>119</v>
      </c>
      <c r="C358" s="63">
        <v>2.0</v>
      </c>
      <c r="D358" s="49">
        <f>IF(B358="","",VLOOKUP(B358,Magazzino!$B$4:$D$987,2))</f>
        <v>0</v>
      </c>
      <c r="E358" s="64" t="s">
        <v>64</v>
      </c>
      <c r="F358" s="55">
        <v>46162.0</v>
      </c>
    </row>
    <row r="359" ht="19.5" customHeight="1">
      <c r="A359" s="61"/>
      <c r="B359" s="62" t="s">
        <v>218</v>
      </c>
      <c r="C359" s="63">
        <v>2.0</v>
      </c>
      <c r="D359" s="49">
        <f>IF(B359="","",VLOOKUP(B359,Magazzino!$B$4:$D$987,2))</f>
        <v>0</v>
      </c>
      <c r="E359" s="64" t="s">
        <v>64</v>
      </c>
      <c r="F359" s="55">
        <v>46162.0</v>
      </c>
    </row>
    <row r="360" ht="19.5" customHeight="1">
      <c r="A360" s="61"/>
      <c r="B360" s="62" t="s">
        <v>222</v>
      </c>
      <c r="C360" s="63">
        <v>1.0</v>
      </c>
      <c r="D360" s="49">
        <f>IF(B360="","",VLOOKUP(B360,Magazzino!$B$4:$D$987,2))</f>
        <v>1</v>
      </c>
      <c r="E360" s="64" t="s">
        <v>233</v>
      </c>
      <c r="F360" s="55">
        <v>46163.0</v>
      </c>
    </row>
    <row r="361" ht="19.5" customHeight="1">
      <c r="A361" s="61"/>
      <c r="B361" s="62" t="s">
        <v>122</v>
      </c>
      <c r="C361" s="63">
        <v>1.0</v>
      </c>
      <c r="D361" s="49">
        <f>IF(B361="","",VLOOKUP(B361,Magazzino!$B$4:$D$987,2))</f>
        <v>-8</v>
      </c>
      <c r="E361" s="64" t="s">
        <v>233</v>
      </c>
      <c r="F361" s="55">
        <v>46163.0</v>
      </c>
    </row>
    <row r="362" ht="19.5" customHeight="1">
      <c r="A362" s="61"/>
      <c r="B362" s="62" t="s">
        <v>22</v>
      </c>
      <c r="C362" s="63">
        <v>2.0</v>
      </c>
      <c r="D362" s="49">
        <f>IF(B362="","",VLOOKUP(B362,Magazzino!$B$4:$D$987,2))</f>
        <v>5</v>
      </c>
      <c r="E362" s="64" t="s">
        <v>233</v>
      </c>
      <c r="F362" s="55">
        <v>46163.0</v>
      </c>
    </row>
    <row r="363" ht="19.5" customHeight="1">
      <c r="A363" s="61"/>
      <c r="B363" s="62" t="s">
        <v>121</v>
      </c>
      <c r="C363" s="63">
        <v>2.0</v>
      </c>
      <c r="D363" s="49">
        <f>IF(B363="","",VLOOKUP(B363,Magazzino!$B$4:$D$987,2))</f>
        <v>11</v>
      </c>
      <c r="E363" s="64" t="s">
        <v>233</v>
      </c>
      <c r="F363" s="55">
        <v>46163.0</v>
      </c>
    </row>
    <row r="364" ht="19.5" customHeight="1">
      <c r="A364" s="61"/>
      <c r="B364" s="62" t="s">
        <v>130</v>
      </c>
      <c r="C364" s="63">
        <v>1.0</v>
      </c>
      <c r="D364" s="49">
        <f>IF(B364="","",VLOOKUP(B364,Magazzino!$B$4:$D$987,2))</f>
        <v>-2</v>
      </c>
      <c r="E364" s="64" t="s">
        <v>233</v>
      </c>
      <c r="F364" s="55">
        <v>46163.0</v>
      </c>
    </row>
    <row r="365" ht="19.5" customHeight="1">
      <c r="A365" s="61"/>
      <c r="B365" s="62" t="s">
        <v>52</v>
      </c>
      <c r="C365" s="63">
        <v>1.0</v>
      </c>
      <c r="D365" s="49">
        <f>IF(B365="","",VLOOKUP(B365,Magazzino!$B$4:$D$987,2))</f>
        <v>18</v>
      </c>
      <c r="E365" s="64" t="s">
        <v>233</v>
      </c>
      <c r="F365" s="55">
        <v>46163.0</v>
      </c>
    </row>
    <row r="366" ht="19.5" customHeight="1">
      <c r="A366" s="61"/>
      <c r="B366" s="62" t="s">
        <v>33</v>
      </c>
      <c r="C366" s="63">
        <v>1.0</v>
      </c>
      <c r="D366" s="49">
        <f>IF(B366="","",VLOOKUP(B366,Magazzino!$B$4:$D$987,2))</f>
        <v>1</v>
      </c>
      <c r="E366" s="64" t="s">
        <v>233</v>
      </c>
      <c r="F366" s="55">
        <v>46163.0</v>
      </c>
    </row>
    <row r="367" ht="19.5" customHeight="1">
      <c r="A367" s="61"/>
      <c r="B367" s="62" t="s">
        <v>59</v>
      </c>
      <c r="C367" s="63">
        <v>1.0</v>
      </c>
      <c r="D367" s="49">
        <f>IF(B367="","",VLOOKUP(B367,Magazzino!$B$4:$D$987,2))</f>
        <v>27</v>
      </c>
      <c r="E367" s="64" t="s">
        <v>64</v>
      </c>
      <c r="F367" s="55">
        <v>46163.0</v>
      </c>
    </row>
    <row r="368" ht="19.5" customHeight="1">
      <c r="A368" s="61"/>
      <c r="B368" s="62" t="s">
        <v>77</v>
      </c>
      <c r="C368" s="63">
        <v>1.0</v>
      </c>
      <c r="D368" s="49">
        <f>IF(B368="","",VLOOKUP(B368,Magazzino!$B$4:$D$987,2))</f>
        <v>42</v>
      </c>
      <c r="E368" s="64" t="s">
        <v>250</v>
      </c>
      <c r="F368" s="55">
        <v>46164.0</v>
      </c>
    </row>
    <row r="369" ht="19.5" customHeight="1">
      <c r="A369" s="61"/>
      <c r="B369" s="62" t="s">
        <v>28</v>
      </c>
      <c r="C369" s="63">
        <v>1.0</v>
      </c>
      <c r="D369" s="49">
        <f>IF(B369="","",VLOOKUP(B369,Magazzino!$B$4:$D$987,2))</f>
        <v>40</v>
      </c>
      <c r="E369" s="64" t="s">
        <v>247</v>
      </c>
      <c r="F369" s="55">
        <v>46163.0</v>
      </c>
    </row>
    <row r="370" ht="19.5" customHeight="1">
      <c r="A370" s="61"/>
      <c r="B370" s="62" t="s">
        <v>22</v>
      </c>
      <c r="C370" s="63">
        <v>1.0</v>
      </c>
      <c r="D370" s="49">
        <f>IF(B370="","",VLOOKUP(B370,Magazzino!$B$4:$D$987,2))</f>
        <v>5</v>
      </c>
      <c r="E370" s="64" t="s">
        <v>247</v>
      </c>
      <c r="F370" s="55">
        <v>46163.0</v>
      </c>
    </row>
    <row r="371" ht="19.5" customHeight="1">
      <c r="A371" s="61"/>
      <c r="B371" s="62" t="s">
        <v>140</v>
      </c>
      <c r="C371" s="63">
        <v>1.0</v>
      </c>
      <c r="D371" s="49">
        <f>IF(B371="","",VLOOKUP(B371,Magazzino!$B$4:$D$987,2))</f>
        <v>0</v>
      </c>
      <c r="E371" s="64" t="s">
        <v>247</v>
      </c>
      <c r="F371" s="55">
        <v>46163.0</v>
      </c>
    </row>
    <row r="372" ht="19.5" customHeight="1">
      <c r="A372" s="61"/>
      <c r="B372" s="62" t="s">
        <v>28</v>
      </c>
      <c r="C372" s="63">
        <v>2.0</v>
      </c>
      <c r="D372" s="49">
        <f>IF(B372="","",VLOOKUP(B372,Magazzino!$B$4:$D$987,2))</f>
        <v>40</v>
      </c>
      <c r="E372" s="64" t="s">
        <v>64</v>
      </c>
      <c r="F372" s="55">
        <v>46167.0</v>
      </c>
    </row>
    <row r="373" ht="19.5" customHeight="1">
      <c r="A373" s="61"/>
      <c r="B373" s="62" t="s">
        <v>16</v>
      </c>
      <c r="C373" s="63">
        <v>2.0</v>
      </c>
      <c r="D373" s="49">
        <f>IF(B373="","",VLOOKUP(B373,Magazzino!$B$4:$D$987,2))</f>
        <v>10</v>
      </c>
      <c r="E373" s="64" t="s">
        <v>64</v>
      </c>
      <c r="F373" s="55">
        <v>46167.0</v>
      </c>
    </row>
    <row r="374" ht="19.5" customHeight="1">
      <c r="A374" s="61"/>
      <c r="B374" s="62" t="s">
        <v>120</v>
      </c>
      <c r="C374" s="63">
        <v>3.0</v>
      </c>
      <c r="D374" s="49">
        <f>IF(B374="","",VLOOKUP(B374,Magazzino!$B$4:$D$987,2))</f>
        <v>24</v>
      </c>
      <c r="E374" s="64" t="s">
        <v>64</v>
      </c>
      <c r="F374" s="55">
        <v>46167.0</v>
      </c>
    </row>
    <row r="375" ht="19.5" customHeight="1">
      <c r="A375" s="61"/>
      <c r="B375" s="62" t="s">
        <v>66</v>
      </c>
      <c r="C375" s="63">
        <v>4.0</v>
      </c>
      <c r="D375" s="49">
        <f>IF(B375="","",VLOOKUP(B375,Magazzino!$B$4:$D$987,2))</f>
        <v>-2</v>
      </c>
      <c r="E375" s="64" t="s">
        <v>64</v>
      </c>
      <c r="F375" s="55">
        <v>46168.0</v>
      </c>
    </row>
    <row r="376" ht="19.5" customHeight="1">
      <c r="A376" s="61"/>
      <c r="B376" s="62" t="s">
        <v>99</v>
      </c>
      <c r="C376" s="63">
        <v>2.0</v>
      </c>
      <c r="D376" s="49">
        <f>IF(B376="","",VLOOKUP(B376,Magazzino!$B$4:$D$987,2))</f>
        <v>-2</v>
      </c>
      <c r="E376" s="64" t="s">
        <v>64</v>
      </c>
      <c r="F376" s="55">
        <v>46168.0</v>
      </c>
    </row>
    <row r="377" ht="19.5" customHeight="1">
      <c r="A377" s="61"/>
      <c r="B377" s="62" t="s">
        <v>77</v>
      </c>
      <c r="C377" s="63">
        <v>2.0</v>
      </c>
      <c r="D377" s="49">
        <f>IF(B377="","",VLOOKUP(B377,Magazzino!$B$4:$D$987,2))</f>
        <v>42</v>
      </c>
      <c r="E377" s="64" t="s">
        <v>64</v>
      </c>
      <c r="F377" s="55">
        <v>46168.0</v>
      </c>
    </row>
    <row r="378" ht="19.5" customHeight="1">
      <c r="A378" s="61"/>
      <c r="B378" s="62" t="s">
        <v>73</v>
      </c>
      <c r="C378" s="63">
        <v>2.0</v>
      </c>
      <c r="D378" s="49">
        <f>IF(B378="","",VLOOKUP(B378,Magazzino!$B$4:$D$987,2))</f>
        <v>9</v>
      </c>
      <c r="E378" s="64" t="s">
        <v>64</v>
      </c>
      <c r="F378" s="55">
        <v>46168.0</v>
      </c>
    </row>
    <row r="379" ht="19.5" customHeight="1">
      <c r="A379" s="61"/>
      <c r="B379" s="62" t="s">
        <v>92</v>
      </c>
      <c r="C379" s="63">
        <v>2.0</v>
      </c>
      <c r="D379" s="49">
        <f>IF(B379="","",VLOOKUP(B379,Magazzino!$B$4:$D$987,2))</f>
        <v>-2</v>
      </c>
      <c r="E379" s="64" t="s">
        <v>64</v>
      </c>
      <c r="F379" s="55">
        <v>46168.0</v>
      </c>
    </row>
    <row r="380" ht="19.5" customHeight="1">
      <c r="A380" s="61"/>
      <c r="B380" s="62" t="s">
        <v>21</v>
      </c>
      <c r="C380" s="63">
        <v>5.0</v>
      </c>
      <c r="D380" s="49">
        <f>IF(B380="","",VLOOKUP(B380,Magazzino!$B$4:$D$987,2))</f>
        <v>75</v>
      </c>
      <c r="E380" s="64" t="s">
        <v>64</v>
      </c>
      <c r="F380" s="55">
        <v>46170.0</v>
      </c>
    </row>
    <row r="381" ht="19.5" customHeight="1">
      <c r="A381" s="61"/>
      <c r="B381" s="62" t="s">
        <v>164</v>
      </c>
      <c r="C381" s="63">
        <v>2.0</v>
      </c>
      <c r="D381" s="49">
        <f>IF(B381="","",VLOOKUP(B381,Magazzino!$B$4:$D$987,2))</f>
        <v>-2</v>
      </c>
      <c r="E381" s="64" t="s">
        <v>64</v>
      </c>
      <c r="F381" s="55">
        <v>46170.0</v>
      </c>
    </row>
    <row r="382" ht="19.5" customHeight="1">
      <c r="A382" s="61"/>
      <c r="B382" s="62" t="s">
        <v>59</v>
      </c>
      <c r="C382" s="63">
        <v>2.0</v>
      </c>
      <c r="D382" s="49">
        <f>IF(B382="","",VLOOKUP(B382,Magazzino!$B$4:$D$987,2))</f>
        <v>27</v>
      </c>
      <c r="E382" s="64" t="s">
        <v>64</v>
      </c>
      <c r="F382" s="55">
        <v>46170.0</v>
      </c>
    </row>
    <row r="383" ht="19.5" customHeight="1">
      <c r="A383" s="61"/>
      <c r="B383" s="62" t="s">
        <v>237</v>
      </c>
      <c r="C383" s="63">
        <v>5.0</v>
      </c>
      <c r="D383" s="49">
        <f>IF(B383="","",VLOOKUP(B383,Magazzino!$B$4:$D$987,2))</f>
        <v>-8</v>
      </c>
      <c r="E383" s="64" t="s">
        <v>64</v>
      </c>
      <c r="F383" s="55">
        <v>46170.0</v>
      </c>
    </row>
    <row r="384" ht="19.5" customHeight="1">
      <c r="A384" s="61"/>
      <c r="B384" s="62" t="s">
        <v>37</v>
      </c>
      <c r="C384" s="63">
        <v>5.0</v>
      </c>
      <c r="D384" s="49">
        <f>IF(B384="","",VLOOKUP(B384,Magazzino!$B$4:$D$987,2))</f>
        <v>18</v>
      </c>
      <c r="E384" s="64" t="s">
        <v>64</v>
      </c>
      <c r="F384" s="55">
        <v>46170.0</v>
      </c>
    </row>
    <row r="385" ht="19.5" customHeight="1">
      <c r="A385" s="61"/>
      <c r="B385" s="62" t="s">
        <v>218</v>
      </c>
      <c r="C385" s="63">
        <v>2.0</v>
      </c>
      <c r="D385" s="49">
        <f>IF(B385="","",VLOOKUP(B385,Magazzino!$B$4:$D$987,2))</f>
        <v>0</v>
      </c>
      <c r="E385" s="64" t="s">
        <v>64</v>
      </c>
      <c r="F385" s="55">
        <v>46170.0</v>
      </c>
    </row>
    <row r="386" ht="19.5" customHeight="1">
      <c r="A386" s="61"/>
      <c r="B386" s="62" t="s">
        <v>135</v>
      </c>
      <c r="C386" s="63">
        <v>1.0</v>
      </c>
      <c r="D386" s="49">
        <f>IF(B386="","",VLOOKUP(B386,Magazzino!$B$4:$D$987,2))</f>
        <v>12</v>
      </c>
      <c r="E386" s="64" t="s">
        <v>64</v>
      </c>
      <c r="F386" s="55">
        <v>46170.0</v>
      </c>
    </row>
    <row r="387" ht="19.5" customHeight="1">
      <c r="A387" s="61"/>
      <c r="B387" s="62" t="s">
        <v>119</v>
      </c>
      <c r="C387" s="63">
        <v>2.0</v>
      </c>
      <c r="D387" s="49">
        <f>IF(B387="","",VLOOKUP(B387,Magazzino!$B$4:$D$987,2))</f>
        <v>0</v>
      </c>
      <c r="E387" s="64" t="s">
        <v>64</v>
      </c>
      <c r="F387" s="55">
        <v>46170.0</v>
      </c>
    </row>
    <row r="388" ht="19.5" customHeight="1">
      <c r="A388" s="61"/>
      <c r="B388" s="62" t="s">
        <v>49</v>
      </c>
      <c r="C388" s="63">
        <v>2.0</v>
      </c>
      <c r="D388" s="49">
        <f>IF(B388="","",VLOOKUP(B388,Magazzino!$B$4:$D$987,2))</f>
        <v>-2</v>
      </c>
      <c r="E388" s="64" t="s">
        <v>64</v>
      </c>
      <c r="F388" s="55">
        <v>46170.0</v>
      </c>
    </row>
    <row r="389" ht="19.5" customHeight="1">
      <c r="A389" s="61"/>
      <c r="B389" s="62" t="s">
        <v>78</v>
      </c>
      <c r="C389" s="63">
        <v>1.0</v>
      </c>
      <c r="D389" s="49">
        <f>IF(B389="","",VLOOKUP(B389,Magazzino!$B$4:$D$987,2))</f>
        <v>8</v>
      </c>
      <c r="E389" s="64" t="s">
        <v>129</v>
      </c>
      <c r="F389" s="55">
        <v>46171.0</v>
      </c>
    </row>
    <row r="390" ht="19.5" customHeight="1">
      <c r="A390" s="61"/>
      <c r="B390" s="62" t="s">
        <v>179</v>
      </c>
      <c r="C390" s="63">
        <v>2.0</v>
      </c>
      <c r="D390" s="49">
        <f>IF(B390="","",VLOOKUP(B390,Magazzino!$B$4:$D$987,2))</f>
        <v>0</v>
      </c>
      <c r="E390" s="64" t="s">
        <v>129</v>
      </c>
      <c r="F390" s="55">
        <v>46171.0</v>
      </c>
    </row>
    <row r="391" ht="19.5" customHeight="1">
      <c r="A391" s="61"/>
      <c r="B391" s="62" t="s">
        <v>110</v>
      </c>
      <c r="C391" s="63">
        <v>2.0</v>
      </c>
      <c r="D391" s="49">
        <f>IF(B391="","",VLOOKUP(B391,Magazzino!$B$4:$D$987,2))</f>
        <v>-4</v>
      </c>
      <c r="E391" s="64" t="s">
        <v>129</v>
      </c>
      <c r="F391" s="55">
        <v>46171.0</v>
      </c>
    </row>
    <row r="392" ht="19.5" customHeight="1">
      <c r="A392" s="61"/>
      <c r="B392" s="62" t="s">
        <v>118</v>
      </c>
      <c r="C392" s="63">
        <v>1.0</v>
      </c>
      <c r="D392" s="49">
        <f>IF(B392="","",VLOOKUP(B392,Magazzino!$B$4:$D$987,2))</f>
        <v>-2</v>
      </c>
      <c r="E392" s="64" t="s">
        <v>129</v>
      </c>
      <c r="F392" s="55">
        <v>46171.0</v>
      </c>
    </row>
    <row r="393" ht="19.5" customHeight="1">
      <c r="A393" s="61"/>
      <c r="B393" s="62" t="s">
        <v>85</v>
      </c>
      <c r="C393" s="63">
        <v>1.0</v>
      </c>
      <c r="D393" s="49">
        <f>IF(B393="","",VLOOKUP(B393,Magazzino!$B$4:$D$987,2))</f>
        <v>-2</v>
      </c>
      <c r="E393" s="64" t="s">
        <v>129</v>
      </c>
      <c r="F393" s="55">
        <v>46171.0</v>
      </c>
    </row>
    <row r="394" ht="19.5" customHeight="1">
      <c r="A394" s="61"/>
      <c r="B394" s="62" t="s">
        <v>134</v>
      </c>
      <c r="C394" s="63">
        <v>1.0</v>
      </c>
      <c r="D394" s="49">
        <f>IF(B394="","",VLOOKUP(B394,Magazzino!$B$4:$D$987,2))</f>
        <v>30</v>
      </c>
      <c r="E394" s="64" t="s">
        <v>129</v>
      </c>
      <c r="F394" s="55">
        <v>46171.0</v>
      </c>
    </row>
    <row r="395" ht="19.5" customHeight="1">
      <c r="A395" s="61"/>
      <c r="B395" s="62" t="s">
        <v>14</v>
      </c>
      <c r="C395" s="63">
        <v>2.0</v>
      </c>
      <c r="D395" s="49">
        <f>IF(B395="","",VLOOKUP(B395,Magazzino!$B$4:$D$987,2))</f>
        <v>18</v>
      </c>
      <c r="E395" s="64" t="s">
        <v>129</v>
      </c>
      <c r="F395" s="55">
        <v>46171.0</v>
      </c>
    </row>
    <row r="396" ht="19.5" customHeight="1">
      <c r="A396" s="61"/>
      <c r="B396" s="62" t="s">
        <v>14</v>
      </c>
      <c r="C396" s="63">
        <v>4.0</v>
      </c>
      <c r="D396" s="49">
        <f>IF(B396="","",VLOOKUP(B396,Magazzino!$B$4:$D$987,2))</f>
        <v>18</v>
      </c>
      <c r="E396" s="64" t="s">
        <v>129</v>
      </c>
      <c r="F396" s="55">
        <v>46171.0</v>
      </c>
    </row>
    <row r="397" ht="19.5" customHeight="1">
      <c r="A397" s="61"/>
      <c r="B397" s="62" t="s">
        <v>264</v>
      </c>
      <c r="C397" s="63">
        <v>1.0</v>
      </c>
      <c r="D397" s="49">
        <f>IF(B397="","",VLOOKUP(B397,Magazzino!$B$4:$D$987,2))</f>
        <v>18</v>
      </c>
      <c r="E397" s="64" t="s">
        <v>129</v>
      </c>
      <c r="F397" s="55">
        <v>46176.0</v>
      </c>
    </row>
    <row r="398" ht="19.5" customHeight="1">
      <c r="A398" s="61"/>
      <c r="B398" s="62" t="s">
        <v>28</v>
      </c>
      <c r="C398" s="63">
        <v>1.0</v>
      </c>
      <c r="D398" s="49">
        <f>IF(B398="","",VLOOKUP(B398,Magazzino!$B$4:$D$987,2))</f>
        <v>40</v>
      </c>
      <c r="E398" s="64" t="s">
        <v>283</v>
      </c>
      <c r="F398" s="55">
        <v>46176.0</v>
      </c>
    </row>
    <row r="399" ht="19.5" customHeight="1">
      <c r="A399" s="61"/>
      <c r="B399" s="62" t="s">
        <v>15</v>
      </c>
      <c r="C399" s="63">
        <v>2.0</v>
      </c>
      <c r="D399" s="49">
        <f>IF(B399="","",VLOOKUP(B399,Magazzino!$B$4:$D$987,2))</f>
        <v>-2</v>
      </c>
      <c r="E399" s="64" t="s">
        <v>283</v>
      </c>
      <c r="F399" s="55">
        <v>46176.0</v>
      </c>
    </row>
    <row r="400" ht="19.5" customHeight="1">
      <c r="A400" s="61"/>
      <c r="B400" s="62" t="s">
        <v>222</v>
      </c>
      <c r="C400" s="63">
        <v>1.0</v>
      </c>
      <c r="D400" s="49">
        <f>IF(B400="","",VLOOKUP(B400,Magazzino!$B$4:$D$987,2))</f>
        <v>1</v>
      </c>
      <c r="E400" s="64" t="s">
        <v>129</v>
      </c>
      <c r="F400" s="55">
        <v>46176.0</v>
      </c>
    </row>
    <row r="401" ht="19.5" customHeight="1">
      <c r="A401" s="61"/>
      <c r="B401" s="62" t="s">
        <v>45</v>
      </c>
      <c r="C401" s="63">
        <v>2.0</v>
      </c>
      <c r="D401" s="49">
        <f>IF(B401="","",VLOOKUP(B401,Magazzino!$B$4:$D$987,2))</f>
        <v>102</v>
      </c>
      <c r="E401" s="64" t="s">
        <v>129</v>
      </c>
      <c r="F401" s="55">
        <v>46176.0</v>
      </c>
    </row>
    <row r="402" ht="19.5" customHeight="1">
      <c r="A402" s="61"/>
      <c r="B402" s="62" t="s">
        <v>122</v>
      </c>
      <c r="C402" s="63">
        <v>1.0</v>
      </c>
      <c r="D402" s="49">
        <f>IF(B402="","",VLOOKUP(B402,Magazzino!$B$4:$D$987,2))</f>
        <v>-8</v>
      </c>
      <c r="E402" s="64" t="s">
        <v>284</v>
      </c>
      <c r="F402" s="55">
        <v>46176.0</v>
      </c>
    </row>
    <row r="403" ht="19.5" customHeight="1">
      <c r="A403" s="61"/>
      <c r="B403" s="62" t="s">
        <v>97</v>
      </c>
      <c r="C403" s="63">
        <v>1.0</v>
      </c>
      <c r="D403" s="49">
        <f>IF(B403="","",VLOOKUP(B403,Magazzino!$B$4:$D$987,2))</f>
        <v>-2</v>
      </c>
      <c r="E403" s="64" t="s">
        <v>284</v>
      </c>
      <c r="F403" s="55">
        <v>46176.0</v>
      </c>
    </row>
    <row r="404" ht="19.5" customHeight="1">
      <c r="A404" s="61"/>
      <c r="B404" s="62" t="s">
        <v>51</v>
      </c>
      <c r="C404" s="63">
        <v>2.0</v>
      </c>
      <c r="D404" s="49">
        <f>IF(B404="","",VLOOKUP(B404,Magazzino!$B$4:$D$987,2))</f>
        <v>-2</v>
      </c>
      <c r="E404" s="64" t="s">
        <v>64</v>
      </c>
      <c r="F404" s="55">
        <v>46176.0</v>
      </c>
    </row>
    <row r="405" ht="19.5" customHeight="1">
      <c r="A405" s="61"/>
      <c r="B405" s="62" t="s">
        <v>16</v>
      </c>
      <c r="C405" s="63">
        <v>2.0</v>
      </c>
      <c r="D405" s="49">
        <f>IF(B405="","",VLOOKUP(B405,Magazzino!$B$4:$D$987,2))</f>
        <v>10</v>
      </c>
      <c r="E405" s="64" t="s">
        <v>64</v>
      </c>
      <c r="F405" s="55">
        <v>46176.0</v>
      </c>
    </row>
    <row r="406" ht="19.5" customHeight="1">
      <c r="A406" s="61"/>
      <c r="B406" s="62" t="s">
        <v>234</v>
      </c>
      <c r="C406" s="63">
        <v>1.0</v>
      </c>
      <c r="D406" s="49">
        <f>IF(B406="","",VLOOKUP(B406,Magazzino!$B$4:$D$987,2))</f>
        <v>0</v>
      </c>
      <c r="E406" s="64" t="s">
        <v>129</v>
      </c>
      <c r="F406" s="55">
        <v>46177.0</v>
      </c>
    </row>
    <row r="407" ht="19.5" customHeight="1">
      <c r="A407" s="61"/>
      <c r="B407" s="62" t="s">
        <v>122</v>
      </c>
      <c r="C407" s="63">
        <v>1.0</v>
      </c>
      <c r="D407" s="49">
        <f>IF(B407="","",VLOOKUP(B407,Magazzino!$B$4:$D$987,2))</f>
        <v>-8</v>
      </c>
      <c r="E407" s="64" t="s">
        <v>64</v>
      </c>
      <c r="F407" s="55">
        <v>46177.0</v>
      </c>
    </row>
    <row r="408" ht="19.5" customHeight="1">
      <c r="A408" s="61"/>
      <c r="B408" s="62" t="s">
        <v>47</v>
      </c>
      <c r="C408" s="63">
        <v>2.0</v>
      </c>
      <c r="D408" s="49">
        <f>IF(B408="","",VLOOKUP(B408,Magazzino!$B$4:$D$987,2))</f>
        <v>5</v>
      </c>
      <c r="E408" s="64" t="s">
        <v>64</v>
      </c>
      <c r="F408" s="55">
        <v>46177.0</v>
      </c>
    </row>
    <row r="409" ht="19.5" customHeight="1">
      <c r="A409" s="61"/>
      <c r="B409" s="62" t="s">
        <v>119</v>
      </c>
      <c r="C409" s="63">
        <v>2.0</v>
      </c>
      <c r="D409" s="49">
        <f>IF(B409="","",VLOOKUP(B409,Magazzino!$B$4:$D$987,2))</f>
        <v>0</v>
      </c>
      <c r="E409" s="64" t="s">
        <v>64</v>
      </c>
      <c r="F409" s="55">
        <v>46177.0</v>
      </c>
    </row>
    <row r="410" ht="19.5" customHeight="1">
      <c r="A410" s="61"/>
      <c r="B410" s="62" t="s">
        <v>253</v>
      </c>
      <c r="C410" s="63">
        <v>2.0</v>
      </c>
      <c r="D410" s="49">
        <f>IF(B410="","",VLOOKUP(B410,Magazzino!$B$4:$D$987,2))</f>
        <v>2</v>
      </c>
      <c r="E410" s="64" t="s">
        <v>64</v>
      </c>
      <c r="F410" s="55">
        <v>46177.0</v>
      </c>
    </row>
    <row r="411" ht="19.5" customHeight="1">
      <c r="A411" s="61"/>
      <c r="B411" s="62" t="s">
        <v>44</v>
      </c>
      <c r="C411" s="63">
        <v>2.0</v>
      </c>
      <c r="D411" s="49">
        <f>IF(B411="","",VLOOKUP(B411,Magazzino!$B$4:$D$987,2))</f>
        <v>16</v>
      </c>
      <c r="E411" s="64" t="s">
        <v>64</v>
      </c>
      <c r="F411" s="55">
        <v>46177.0</v>
      </c>
    </row>
    <row r="412" ht="19.5" customHeight="1">
      <c r="A412" s="61"/>
      <c r="B412" s="62" t="s">
        <v>15</v>
      </c>
      <c r="C412" s="63">
        <v>3.0</v>
      </c>
      <c r="D412" s="49">
        <f>IF(B412="","",VLOOKUP(B412,Magazzino!$B$4:$D$987,2))</f>
        <v>-2</v>
      </c>
      <c r="E412" s="64" t="s">
        <v>214</v>
      </c>
      <c r="F412" s="55">
        <v>46179.0</v>
      </c>
    </row>
    <row r="413" ht="19.5" customHeight="1">
      <c r="A413" s="61"/>
      <c r="B413" s="62" t="s">
        <v>77</v>
      </c>
      <c r="C413" s="63">
        <v>1.0</v>
      </c>
      <c r="D413" s="49">
        <f>IF(B413="","",VLOOKUP(B413,Magazzino!$B$4:$D$987,2))</f>
        <v>42</v>
      </c>
      <c r="E413" s="64" t="s">
        <v>250</v>
      </c>
      <c r="F413" s="55">
        <v>46179.0</v>
      </c>
    </row>
    <row r="414" ht="19.5" customHeight="1">
      <c r="A414" s="61"/>
      <c r="B414" s="62" t="s">
        <v>127</v>
      </c>
      <c r="C414" s="63">
        <v>1.0</v>
      </c>
      <c r="D414" s="49">
        <f>IF(B414="","",VLOOKUP(B414,Magazzino!$B$4:$D$987,2))</f>
        <v>3</v>
      </c>
      <c r="E414" s="64" t="s">
        <v>233</v>
      </c>
      <c r="F414" s="55">
        <v>46179.0</v>
      </c>
    </row>
    <row r="415" ht="19.5" customHeight="1">
      <c r="A415" s="61"/>
      <c r="B415" s="62" t="s">
        <v>118</v>
      </c>
      <c r="C415" s="63">
        <v>1.0</v>
      </c>
      <c r="D415" s="49">
        <f>IF(B415="","",VLOOKUP(B415,Magazzino!$B$4:$D$987,2))</f>
        <v>-2</v>
      </c>
      <c r="E415" s="64" t="s">
        <v>233</v>
      </c>
      <c r="F415" s="55">
        <v>46179.0</v>
      </c>
    </row>
    <row r="416" ht="19.5" customHeight="1">
      <c r="A416" s="61"/>
      <c r="B416" s="62" t="s">
        <v>186</v>
      </c>
      <c r="C416" s="63">
        <v>1.0</v>
      </c>
      <c r="D416" s="49">
        <f>IF(B416="","",VLOOKUP(B416,Magazzino!$B$4:$D$987,2))</f>
        <v>40</v>
      </c>
      <c r="E416" s="64" t="s">
        <v>233</v>
      </c>
      <c r="F416" s="55">
        <v>46179.0</v>
      </c>
    </row>
    <row r="417" ht="19.5" customHeight="1">
      <c r="A417" s="61"/>
      <c r="B417" s="62" t="s">
        <v>22</v>
      </c>
      <c r="C417" s="63">
        <v>1.0</v>
      </c>
      <c r="D417" s="49"/>
      <c r="E417" s="64" t="s">
        <v>233</v>
      </c>
      <c r="F417" s="55">
        <v>46179.0</v>
      </c>
    </row>
    <row r="418" ht="19.5" customHeight="1">
      <c r="A418" s="61"/>
      <c r="B418" s="62" t="s">
        <v>122</v>
      </c>
      <c r="C418" s="63">
        <v>1.0</v>
      </c>
      <c r="D418" s="49">
        <f>IF(B418="","",VLOOKUP(B418,Magazzino!$B$4:$D$987,2))</f>
        <v>-8</v>
      </c>
      <c r="E418" s="64" t="s">
        <v>233</v>
      </c>
      <c r="F418" s="55">
        <v>46179.0</v>
      </c>
    </row>
    <row r="419" ht="19.5" customHeight="1">
      <c r="A419" s="61"/>
      <c r="B419" s="62" t="s">
        <v>144</v>
      </c>
      <c r="C419" s="63">
        <v>1.0</v>
      </c>
      <c r="D419" s="49">
        <f>IF(B419="","",VLOOKUP(B419,Magazzino!$B$4:$D$987,2))</f>
        <v>25</v>
      </c>
      <c r="E419" s="64" t="s">
        <v>233</v>
      </c>
      <c r="F419" s="55">
        <v>46179.0</v>
      </c>
    </row>
    <row r="420" ht="19.5" customHeight="1">
      <c r="A420" s="61"/>
      <c r="B420" s="62" t="s">
        <v>53</v>
      </c>
      <c r="C420" s="63">
        <v>5.0</v>
      </c>
      <c r="D420" s="49">
        <f>IF(B420="","",VLOOKUP(B420,Magazzino!$B$4:$D$987,2))</f>
        <v>24</v>
      </c>
      <c r="E420" s="64" t="s">
        <v>64</v>
      </c>
      <c r="F420" s="55">
        <v>46181.0</v>
      </c>
    </row>
    <row r="421" ht="19.5" customHeight="1">
      <c r="A421" s="61"/>
      <c r="B421" s="62" t="s">
        <v>21</v>
      </c>
      <c r="C421" s="63">
        <v>4.0</v>
      </c>
      <c r="D421" s="49">
        <f>IF(B421="","",VLOOKUP(B421,Magazzino!$B$4:$D$987,2))</f>
        <v>75</v>
      </c>
      <c r="E421" s="64" t="s">
        <v>64</v>
      </c>
      <c r="F421" s="55">
        <v>46181.0</v>
      </c>
    </row>
    <row r="422" ht="19.5" customHeight="1">
      <c r="A422" s="61"/>
      <c r="B422" s="62" t="s">
        <v>38</v>
      </c>
      <c r="C422" s="63">
        <v>4.0</v>
      </c>
      <c r="D422" s="49">
        <f>IF(B422="","",VLOOKUP(B422,Magazzino!$B$4:$D$987,2))</f>
        <v>12</v>
      </c>
      <c r="E422" s="64" t="s">
        <v>64</v>
      </c>
      <c r="F422" s="55">
        <v>46181.0</v>
      </c>
    </row>
    <row r="423" ht="19.5" customHeight="1">
      <c r="A423" s="61"/>
      <c r="B423" s="62" t="s">
        <v>19</v>
      </c>
      <c r="C423" s="63">
        <v>2.0</v>
      </c>
      <c r="D423" s="49">
        <f>IF(B423="","",VLOOKUP(B423,Magazzino!$B$4:$D$987,2))</f>
        <v>3</v>
      </c>
      <c r="E423" s="64" t="s">
        <v>233</v>
      </c>
      <c r="F423" s="55">
        <v>46181.0</v>
      </c>
    </row>
    <row r="424" ht="19.5" customHeight="1">
      <c r="A424" s="61"/>
      <c r="B424" s="62" t="s">
        <v>77</v>
      </c>
      <c r="C424" s="63">
        <v>2.0</v>
      </c>
      <c r="D424" s="49">
        <f>IF(B424="","",VLOOKUP(B424,Magazzino!$B$4:$D$987,2))</f>
        <v>42</v>
      </c>
      <c r="E424" s="64" t="s">
        <v>64</v>
      </c>
      <c r="F424" s="55">
        <v>46182.0</v>
      </c>
    </row>
    <row r="425" ht="19.5" customHeight="1">
      <c r="A425" s="61"/>
      <c r="B425" s="62" t="s">
        <v>28</v>
      </c>
      <c r="C425" s="63">
        <v>2.0</v>
      </c>
      <c r="D425" s="49">
        <f>IF(B425="","",VLOOKUP(B425,Magazzino!$B$4:$D$987,2))</f>
        <v>40</v>
      </c>
      <c r="E425" s="64" t="s">
        <v>64</v>
      </c>
      <c r="F425" s="55">
        <v>46182.0</v>
      </c>
    </row>
    <row r="426" ht="19.5" customHeight="1">
      <c r="A426" s="61"/>
      <c r="B426" s="62" t="s">
        <v>190</v>
      </c>
      <c r="C426" s="63">
        <v>2.0</v>
      </c>
      <c r="D426" s="49">
        <f>IF(B426="","",VLOOKUP(B426,Magazzino!$B$4:$D$987,2))</f>
        <v>0</v>
      </c>
      <c r="E426" s="64" t="s">
        <v>129</v>
      </c>
      <c r="F426" s="55">
        <v>46183.0</v>
      </c>
    </row>
    <row r="427" ht="19.5" customHeight="1">
      <c r="A427" s="61"/>
      <c r="B427" s="62" t="s">
        <v>28</v>
      </c>
      <c r="C427" s="63">
        <v>1.0</v>
      </c>
      <c r="D427" s="49">
        <f>IF(B427="","",VLOOKUP(B427,Magazzino!$B$4:$D$987,2))</f>
        <v>40</v>
      </c>
      <c r="E427" s="64" t="s">
        <v>194</v>
      </c>
      <c r="F427" s="55">
        <v>46182.0</v>
      </c>
    </row>
    <row r="428" ht="19.5" customHeight="1">
      <c r="A428" s="61"/>
      <c r="B428" s="62" t="s">
        <v>97</v>
      </c>
      <c r="C428" s="63">
        <v>1.0</v>
      </c>
      <c r="D428" s="49">
        <f>IF(B428="","",VLOOKUP(B428,Magazzino!$B$4:$D$987,2))</f>
        <v>-2</v>
      </c>
      <c r="E428" s="64" t="s">
        <v>285</v>
      </c>
      <c r="F428" s="55">
        <v>46183.0</v>
      </c>
    </row>
    <row r="429" ht="19.5" customHeight="1">
      <c r="A429" s="61"/>
      <c r="B429" s="62" t="s">
        <v>77</v>
      </c>
      <c r="C429" s="63">
        <v>1.0</v>
      </c>
      <c r="D429" s="49">
        <f>IF(B429="","",VLOOKUP(B429,Magazzino!$B$4:$D$987,2))</f>
        <v>42</v>
      </c>
      <c r="E429" s="64" t="s">
        <v>250</v>
      </c>
      <c r="F429" s="55">
        <v>46184.0</v>
      </c>
    </row>
    <row r="430" ht="19.5" customHeight="1">
      <c r="A430" s="61"/>
      <c r="B430" s="62" t="s">
        <v>218</v>
      </c>
      <c r="C430" s="63">
        <v>2.0</v>
      </c>
      <c r="D430" s="49">
        <f>IF(B430="","",VLOOKUP(B430,Magazzino!$B$4:$D$987,2))</f>
        <v>0</v>
      </c>
      <c r="E430" s="64" t="s">
        <v>64</v>
      </c>
      <c r="F430" s="55">
        <v>46184.0</v>
      </c>
    </row>
    <row r="431" ht="19.5" customHeight="1">
      <c r="A431" s="61"/>
      <c r="B431" s="62" t="s">
        <v>44</v>
      </c>
      <c r="C431" s="63">
        <v>2.0</v>
      </c>
      <c r="D431" s="49">
        <f>IF(B431="","",VLOOKUP(B431,Magazzino!$B$4:$D$987,2))</f>
        <v>16</v>
      </c>
      <c r="E431" s="64" t="s">
        <v>64</v>
      </c>
      <c r="F431" s="55">
        <v>46184.0</v>
      </c>
    </row>
    <row r="432" ht="19.5" customHeight="1">
      <c r="A432" s="61"/>
      <c r="B432" s="62" t="s">
        <v>82</v>
      </c>
      <c r="C432" s="63">
        <v>2.0</v>
      </c>
      <c r="D432" s="49">
        <f>IF(B432="","",VLOOKUP(B432,Magazzino!$B$4:$D$987,2))</f>
        <v>-2</v>
      </c>
      <c r="E432" s="64" t="s">
        <v>64</v>
      </c>
      <c r="F432" s="55">
        <v>46184.0</v>
      </c>
    </row>
    <row r="433" ht="19.5" customHeight="1">
      <c r="A433" s="61"/>
      <c r="B433" s="62" t="s">
        <v>19</v>
      </c>
      <c r="C433" s="63">
        <v>1.0</v>
      </c>
      <c r="D433" s="49">
        <f>IF(B433="","",VLOOKUP(B433,Magazzino!$B$4:$D$987,2))</f>
        <v>3</v>
      </c>
      <c r="E433" s="64" t="s">
        <v>64</v>
      </c>
      <c r="F433" s="55">
        <v>46184.0</v>
      </c>
    </row>
    <row r="434" ht="19.5" customHeight="1">
      <c r="A434" s="61"/>
      <c r="B434" s="62" t="s">
        <v>80</v>
      </c>
      <c r="C434" s="63">
        <v>1.0</v>
      </c>
      <c r="D434" s="49">
        <f>IF(B434="","",VLOOKUP(B434,Magazzino!$B$4:$D$987,2))</f>
        <v>9</v>
      </c>
      <c r="E434" s="64" t="s">
        <v>129</v>
      </c>
      <c r="F434" s="55">
        <v>46184.0</v>
      </c>
    </row>
    <row r="435" ht="19.5" customHeight="1">
      <c r="A435" s="61"/>
      <c r="B435" s="62" t="s">
        <v>32</v>
      </c>
      <c r="C435" s="63">
        <v>1.0</v>
      </c>
      <c r="D435" s="49">
        <f>IF(B435="","",VLOOKUP(B435,Magazzino!$B$4:$D$987,2))</f>
        <v>-2</v>
      </c>
      <c r="E435" s="64" t="s">
        <v>129</v>
      </c>
      <c r="F435" s="55">
        <v>46184.0</v>
      </c>
    </row>
    <row r="436" ht="19.5" customHeight="1">
      <c r="A436" s="61"/>
      <c r="B436" s="62" t="s">
        <v>190</v>
      </c>
      <c r="C436" s="63">
        <v>2.0</v>
      </c>
      <c r="D436" s="49">
        <f>IF(B436="","",VLOOKUP(B436,Magazzino!$B$4:$D$987,2))</f>
        <v>0</v>
      </c>
      <c r="E436" s="64" t="s">
        <v>129</v>
      </c>
      <c r="F436" s="55">
        <v>46184.0</v>
      </c>
    </row>
    <row r="437" ht="19.5" customHeight="1">
      <c r="A437" s="61"/>
      <c r="B437" s="62" t="s">
        <v>85</v>
      </c>
      <c r="C437" s="63">
        <v>1.0</v>
      </c>
      <c r="D437" s="49">
        <f>IF(B437="","",VLOOKUP(B437,Magazzino!$B$4:$D$987,2))</f>
        <v>-2</v>
      </c>
      <c r="E437" s="64" t="s">
        <v>111</v>
      </c>
      <c r="F437" s="55">
        <v>46185.0</v>
      </c>
    </row>
    <row r="438" ht="19.5" customHeight="1">
      <c r="A438" s="61"/>
      <c r="B438" s="62" t="s">
        <v>19</v>
      </c>
      <c r="C438" s="63">
        <v>2.0</v>
      </c>
      <c r="D438" s="49">
        <f>IF(B438="","",VLOOKUP(B438,Magazzino!$B$4:$D$987,2))</f>
        <v>3</v>
      </c>
      <c r="E438" s="64" t="s">
        <v>129</v>
      </c>
      <c r="F438" s="55">
        <v>46185.0</v>
      </c>
    </row>
    <row r="439" ht="19.5" customHeight="1">
      <c r="A439" s="61"/>
      <c r="B439" s="62" t="s">
        <v>119</v>
      </c>
      <c r="C439" s="63">
        <v>2.0</v>
      </c>
      <c r="D439" s="49">
        <f>IF(B439="","",VLOOKUP(B439,Magazzino!$B$4:$D$987,2))</f>
        <v>0</v>
      </c>
      <c r="E439" s="64" t="s">
        <v>64</v>
      </c>
      <c r="F439" s="55">
        <v>46185.0</v>
      </c>
    </row>
    <row r="440" ht="19.5" customHeight="1">
      <c r="A440" s="61"/>
      <c r="B440" s="62" t="s">
        <v>80</v>
      </c>
      <c r="C440" s="63">
        <v>2.0</v>
      </c>
      <c r="D440" s="49">
        <f>IF(B440="","",VLOOKUP(B440,Magazzino!$B$4:$D$987,2))</f>
        <v>9</v>
      </c>
      <c r="E440" s="64" t="s">
        <v>64</v>
      </c>
      <c r="F440" s="55">
        <v>46185.0</v>
      </c>
    </row>
    <row r="441" ht="19.5" customHeight="1">
      <c r="A441" s="61"/>
      <c r="B441" s="62" t="s">
        <v>47</v>
      </c>
      <c r="C441" s="63">
        <v>2.0</v>
      </c>
      <c r="D441" s="49">
        <f>IF(B441="","",VLOOKUP(B441,Magazzino!$B$4:$D$987,2))</f>
        <v>5</v>
      </c>
      <c r="E441" s="64" t="s">
        <v>64</v>
      </c>
      <c r="F441" s="55">
        <v>46185.0</v>
      </c>
    </row>
    <row r="442" ht="19.5" customHeight="1">
      <c r="A442" s="61"/>
      <c r="B442" s="62" t="s">
        <v>164</v>
      </c>
      <c r="C442" s="63">
        <v>2.0</v>
      </c>
      <c r="D442" s="49">
        <f>IF(B442="","",VLOOKUP(B442,Magazzino!$B$4:$D$987,2))</f>
        <v>-2</v>
      </c>
      <c r="E442" s="64" t="s">
        <v>64</v>
      </c>
      <c r="F442" s="55">
        <v>46185.0</v>
      </c>
    </row>
    <row r="443" ht="19.5" customHeight="1">
      <c r="A443" s="61"/>
      <c r="B443" s="62" t="s">
        <v>28</v>
      </c>
      <c r="C443" s="63">
        <v>1.0</v>
      </c>
      <c r="D443" s="49">
        <f>IF(B443="","",VLOOKUP(B443,Magazzino!$B$4:$D$987,2))</f>
        <v>40</v>
      </c>
      <c r="E443" s="64" t="s">
        <v>286</v>
      </c>
      <c r="F443" s="55">
        <v>46184.0</v>
      </c>
    </row>
    <row r="444" ht="19.5" customHeight="1">
      <c r="A444" s="61"/>
      <c r="B444" s="62" t="s">
        <v>252</v>
      </c>
      <c r="C444" s="63">
        <v>1.0</v>
      </c>
      <c r="D444" s="49">
        <f>IF(B444="","",VLOOKUP(B444,Magazzino!$B$4:$D$987,2))</f>
        <v>3</v>
      </c>
      <c r="E444" s="64" t="s">
        <v>233</v>
      </c>
      <c r="F444" s="55">
        <v>46188.0</v>
      </c>
    </row>
    <row r="445" ht="19.5" customHeight="1">
      <c r="A445" s="61"/>
      <c r="B445" s="62" t="s">
        <v>191</v>
      </c>
      <c r="C445" s="63">
        <v>1.0</v>
      </c>
      <c r="D445" s="49">
        <f>IF(B445="","",VLOOKUP(B445,Magazzino!$B$4:$D$987,2))</f>
        <v>4</v>
      </c>
      <c r="E445" s="64" t="s">
        <v>287</v>
      </c>
      <c r="F445" s="55">
        <v>46189.0</v>
      </c>
    </row>
    <row r="446" ht="19.5" customHeight="1">
      <c r="A446" s="61"/>
      <c r="B446" s="62" t="s">
        <v>230</v>
      </c>
      <c r="C446" s="63">
        <v>1.0</v>
      </c>
      <c r="D446" s="49">
        <f>IF(B446="","",VLOOKUP(B446,Magazzino!$B$4:$D$987,2))</f>
        <v>-1</v>
      </c>
      <c r="E446" s="64" t="s">
        <v>287</v>
      </c>
      <c r="F446" s="55">
        <v>46189.0</v>
      </c>
    </row>
    <row r="447" ht="19.5" customHeight="1">
      <c r="A447" s="61"/>
      <c r="B447" s="62" t="s">
        <v>72</v>
      </c>
      <c r="C447" s="63">
        <v>1.0</v>
      </c>
      <c r="D447" s="49">
        <f>IF(B447="","",VLOOKUP(B447,Magazzino!$B$4:$D$987,2))</f>
        <v>0</v>
      </c>
      <c r="E447" s="64" t="s">
        <v>64</v>
      </c>
      <c r="F447" s="55">
        <v>46189.0</v>
      </c>
    </row>
    <row r="448" ht="19.5" customHeight="1">
      <c r="A448" s="61"/>
      <c r="B448" s="62" t="s">
        <v>40</v>
      </c>
      <c r="C448" s="63">
        <v>1.0</v>
      </c>
      <c r="D448" s="49">
        <f>IF(B448="","",VLOOKUP(B448,Magazzino!$B$4:$D$987,2))</f>
        <v>17</v>
      </c>
      <c r="E448" s="64" t="s">
        <v>129</v>
      </c>
      <c r="F448" s="55">
        <v>46190.0</v>
      </c>
    </row>
    <row r="449" ht="19.5" customHeight="1">
      <c r="A449" s="61"/>
      <c r="B449" s="62" t="s">
        <v>28</v>
      </c>
      <c r="C449" s="63">
        <v>1.0</v>
      </c>
      <c r="D449" s="49">
        <f>IF(B449="","",VLOOKUP(B449,Magazzino!$B$4:$D$987,2))</f>
        <v>40</v>
      </c>
      <c r="E449" s="64" t="s">
        <v>207</v>
      </c>
      <c r="F449" s="55">
        <v>46190.0</v>
      </c>
    </row>
    <row r="450" ht="19.5" customHeight="1">
      <c r="A450" s="61"/>
      <c r="B450" s="62" t="s">
        <v>68</v>
      </c>
      <c r="C450" s="63">
        <v>3.0</v>
      </c>
      <c r="D450" s="49">
        <f>IF(B450="","",VLOOKUP(B450,Magazzino!$B$4:$D$987,2))</f>
        <v>192</v>
      </c>
      <c r="E450" s="64" t="s">
        <v>185</v>
      </c>
      <c r="F450" s="55">
        <v>46190.0</v>
      </c>
    </row>
    <row r="451" ht="19.5" customHeight="1">
      <c r="A451" s="61"/>
      <c r="B451" s="62" t="s">
        <v>153</v>
      </c>
      <c r="C451" s="63">
        <v>1.0</v>
      </c>
      <c r="D451" s="49">
        <f>IF(B451="","",VLOOKUP(B451,Magazzino!$B$4:$D$987,2))</f>
        <v>8</v>
      </c>
      <c r="E451" s="64" t="s">
        <v>194</v>
      </c>
      <c r="F451" s="55">
        <v>46190.0</v>
      </c>
    </row>
    <row r="452" ht="19.5" customHeight="1">
      <c r="A452" s="61"/>
      <c r="B452" s="62" t="s">
        <v>98</v>
      </c>
      <c r="C452" s="63">
        <v>1.0</v>
      </c>
      <c r="D452" s="49">
        <f>IF(B452="","",VLOOKUP(B452,Magazzino!$B$4:$D$987,2))</f>
        <v>6</v>
      </c>
      <c r="E452" s="64" t="s">
        <v>194</v>
      </c>
      <c r="F452" s="55">
        <v>46190.0</v>
      </c>
    </row>
    <row r="453" ht="19.5" customHeight="1">
      <c r="A453" s="61"/>
      <c r="B453" s="62" t="s">
        <v>66</v>
      </c>
      <c r="C453" s="63">
        <v>4.0</v>
      </c>
      <c r="D453" s="49">
        <f>IF(B453="","",VLOOKUP(B453,Magazzino!$B$4:$D$987,2))</f>
        <v>-2</v>
      </c>
      <c r="E453" s="64" t="s">
        <v>64</v>
      </c>
      <c r="F453" s="55">
        <v>46191.0</v>
      </c>
    </row>
    <row r="454" ht="19.5" customHeight="1">
      <c r="A454" s="61"/>
      <c r="B454" s="62" t="s">
        <v>53</v>
      </c>
      <c r="C454" s="63">
        <v>4.0</v>
      </c>
      <c r="D454" s="49">
        <f>IF(B454="","",VLOOKUP(B454,Magazzino!$B$4:$D$987,2))</f>
        <v>24</v>
      </c>
      <c r="E454" s="64" t="s">
        <v>64</v>
      </c>
      <c r="F454" s="55">
        <v>46191.0</v>
      </c>
    </row>
    <row r="455" ht="19.5" customHeight="1">
      <c r="A455" s="61"/>
      <c r="B455" s="62" t="s">
        <v>21</v>
      </c>
      <c r="C455" s="63">
        <v>4.0</v>
      </c>
      <c r="D455" s="49">
        <f>IF(B455="","",VLOOKUP(B455,Magazzino!$B$4:$D$987,2))</f>
        <v>75</v>
      </c>
      <c r="E455" s="64" t="s">
        <v>64</v>
      </c>
      <c r="F455" s="55">
        <v>46191.0</v>
      </c>
    </row>
    <row r="456" ht="19.5" customHeight="1">
      <c r="A456" s="61"/>
      <c r="B456" s="62" t="s">
        <v>119</v>
      </c>
      <c r="C456" s="63">
        <v>2.0</v>
      </c>
      <c r="D456" s="49">
        <f>IF(B456="","",VLOOKUP(B456,Magazzino!$B$4:$D$987,2))</f>
        <v>0</v>
      </c>
      <c r="E456" s="64" t="s">
        <v>64</v>
      </c>
      <c r="F456" s="55">
        <v>46191.0</v>
      </c>
    </row>
    <row r="457" ht="19.5" customHeight="1">
      <c r="A457" s="61"/>
      <c r="B457" s="62" t="s">
        <v>28</v>
      </c>
      <c r="C457" s="63">
        <v>2.0</v>
      </c>
      <c r="D457" s="49">
        <f>IF(B457="","",VLOOKUP(B457,Magazzino!$B$4:$D$987,2))</f>
        <v>40</v>
      </c>
      <c r="E457" s="64" t="s">
        <v>64</v>
      </c>
      <c r="F457" s="55">
        <v>46191.0</v>
      </c>
    </row>
    <row r="458" ht="19.5" customHeight="1">
      <c r="A458" s="70" t="s">
        <v>288</v>
      </c>
      <c r="B458" s="62" t="s">
        <v>99</v>
      </c>
      <c r="C458" s="63">
        <v>4.0</v>
      </c>
      <c r="D458" s="49">
        <f>IF(B458="","",VLOOKUP(B458,Magazzino!$B$4:$D$987,2))</f>
        <v>-2</v>
      </c>
      <c r="E458" s="64" t="s">
        <v>64</v>
      </c>
      <c r="F458" s="55">
        <v>46192.0</v>
      </c>
    </row>
    <row r="459" ht="19.5" customHeight="1">
      <c r="A459" s="70" t="s">
        <v>288</v>
      </c>
      <c r="B459" s="62" t="s">
        <v>218</v>
      </c>
      <c r="C459" s="63">
        <v>4.0</v>
      </c>
      <c r="D459" s="49">
        <f>IF(B459="","",VLOOKUP(B459,Magazzino!$B$4:$D$987,2))</f>
        <v>0</v>
      </c>
      <c r="E459" s="64" t="s">
        <v>64</v>
      </c>
      <c r="F459" s="55">
        <v>46192.0</v>
      </c>
    </row>
    <row r="460" ht="19.5" customHeight="1">
      <c r="A460" s="70" t="s">
        <v>288</v>
      </c>
      <c r="B460" s="62" t="s">
        <v>22</v>
      </c>
      <c r="C460" s="63">
        <v>4.0</v>
      </c>
      <c r="D460" s="49">
        <f>IF(B460="","",VLOOKUP(B460,Magazzino!$B$4:$D$987,2))</f>
        <v>5</v>
      </c>
      <c r="E460" s="64" t="s">
        <v>64</v>
      </c>
      <c r="F460" s="55">
        <v>46192.0</v>
      </c>
    </row>
    <row r="461" ht="19.5" customHeight="1">
      <c r="A461" s="70" t="s">
        <v>288</v>
      </c>
      <c r="B461" s="62" t="s">
        <v>49</v>
      </c>
      <c r="C461" s="63">
        <v>4.0</v>
      </c>
      <c r="D461" s="49">
        <f>IF(B461="","",VLOOKUP(B461,Magazzino!$B$4:$D$987,2))</f>
        <v>-2</v>
      </c>
      <c r="E461" s="64" t="s">
        <v>64</v>
      </c>
      <c r="F461" s="55">
        <v>46192.0</v>
      </c>
    </row>
    <row r="462" ht="19.5" customHeight="1">
      <c r="A462" s="70" t="s">
        <v>288</v>
      </c>
      <c r="B462" s="62" t="s">
        <v>85</v>
      </c>
      <c r="C462" s="63">
        <v>4.0</v>
      </c>
      <c r="D462" s="49">
        <f>IF(B462="","",VLOOKUP(B462,Magazzino!$B$4:$D$987,2))</f>
        <v>-2</v>
      </c>
      <c r="E462" s="64" t="s">
        <v>64</v>
      </c>
      <c r="F462" s="55">
        <v>46192.0</v>
      </c>
    </row>
    <row r="463" ht="19.5" customHeight="1">
      <c r="A463" s="70" t="s">
        <v>288</v>
      </c>
      <c r="B463" s="62" t="s">
        <v>40</v>
      </c>
      <c r="C463" s="63">
        <v>1.0</v>
      </c>
      <c r="D463" s="49">
        <f>IF(B463="","",VLOOKUP(B463,Magazzino!$B$4:$D$987,2))</f>
        <v>17</v>
      </c>
      <c r="E463" s="64" t="s">
        <v>64</v>
      </c>
      <c r="F463" s="55">
        <v>46192.0</v>
      </c>
    </row>
    <row r="464" ht="19.5" customHeight="1">
      <c r="A464" s="70" t="s">
        <v>288</v>
      </c>
      <c r="B464" s="62" t="s">
        <v>16</v>
      </c>
      <c r="C464" s="63">
        <v>4.0</v>
      </c>
      <c r="D464" s="49">
        <f>IF(B464="","",VLOOKUP(B464,Magazzino!$B$4:$D$987,2))</f>
        <v>10</v>
      </c>
      <c r="E464" s="64" t="s">
        <v>64</v>
      </c>
      <c r="F464" s="55">
        <v>46192.0</v>
      </c>
    </row>
    <row r="465" ht="19.5" customHeight="1">
      <c r="A465" s="70" t="s">
        <v>288</v>
      </c>
      <c r="B465" s="62" t="s">
        <v>28</v>
      </c>
      <c r="C465" s="63">
        <v>4.0</v>
      </c>
      <c r="D465" s="49">
        <f>IF(B465="","",VLOOKUP(B465,Magazzino!$B$4:$D$987,2))</f>
        <v>40</v>
      </c>
      <c r="E465" s="64" t="s">
        <v>64</v>
      </c>
      <c r="F465" s="55">
        <v>46192.0</v>
      </c>
    </row>
    <row r="466" ht="19.5" customHeight="1">
      <c r="A466" s="70" t="s">
        <v>288</v>
      </c>
      <c r="B466" s="62" t="s">
        <v>119</v>
      </c>
      <c r="C466" s="63">
        <v>3.0</v>
      </c>
      <c r="D466" s="49">
        <f>IF(B466="","",VLOOKUP(B466,Magazzino!$B$4:$D$987,2))</f>
        <v>0</v>
      </c>
      <c r="E466" s="64" t="s">
        <v>64</v>
      </c>
      <c r="F466" s="55">
        <v>46192.0</v>
      </c>
    </row>
    <row r="467" ht="19.5" customHeight="1">
      <c r="A467" s="70" t="s">
        <v>288</v>
      </c>
      <c r="B467" s="62" t="s">
        <v>80</v>
      </c>
      <c r="C467" s="63">
        <v>3.0</v>
      </c>
      <c r="D467" s="49">
        <f>IF(B467="","",VLOOKUP(B467,Magazzino!$B$4:$D$987,2))</f>
        <v>9</v>
      </c>
      <c r="E467" s="64" t="s">
        <v>64</v>
      </c>
      <c r="F467" s="55">
        <v>46192.0</v>
      </c>
    </row>
    <row r="468" ht="19.5" customHeight="1">
      <c r="A468" s="70" t="s">
        <v>288</v>
      </c>
      <c r="B468" s="62" t="s">
        <v>47</v>
      </c>
      <c r="C468" s="63">
        <v>3.0</v>
      </c>
      <c r="D468" s="49">
        <f>IF(B468="","",VLOOKUP(B468,Magazzino!$B$4:$D$987,2))</f>
        <v>5</v>
      </c>
      <c r="E468" s="64" t="s">
        <v>64</v>
      </c>
      <c r="F468" s="55">
        <v>46192.0</v>
      </c>
    </row>
    <row r="469" ht="19.5" customHeight="1">
      <c r="A469" s="70" t="s">
        <v>288</v>
      </c>
      <c r="B469" s="62" t="s">
        <v>14</v>
      </c>
      <c r="C469" s="63">
        <v>2.0</v>
      </c>
      <c r="D469" s="49">
        <f>IF(B469="","",VLOOKUP(B469,Magazzino!$B$4:$D$987,2))</f>
        <v>18</v>
      </c>
      <c r="E469" s="64" t="s">
        <v>64</v>
      </c>
      <c r="F469" s="55">
        <v>46192.0</v>
      </c>
    </row>
    <row r="470" ht="19.5" customHeight="1">
      <c r="A470" s="70" t="s">
        <v>288</v>
      </c>
      <c r="B470" s="62" t="s">
        <v>56</v>
      </c>
      <c r="C470" s="63">
        <v>3.0</v>
      </c>
      <c r="D470" s="49">
        <f>IF(B470="","",VLOOKUP(B470,Magazzino!$B$4:$D$987,2))</f>
        <v>-2</v>
      </c>
      <c r="E470" s="64" t="s">
        <v>64</v>
      </c>
      <c r="F470" s="55">
        <v>46192.0</v>
      </c>
    </row>
    <row r="471" ht="19.5" customHeight="1">
      <c r="A471" s="70" t="s">
        <v>288</v>
      </c>
      <c r="B471" s="62" t="s">
        <v>164</v>
      </c>
      <c r="C471" s="63">
        <v>3.0</v>
      </c>
      <c r="D471" s="49">
        <f>IF(B471="","",VLOOKUP(B471,Magazzino!$B$4:$D$987,2))</f>
        <v>-2</v>
      </c>
      <c r="E471" s="64" t="s">
        <v>64</v>
      </c>
      <c r="F471" s="55">
        <v>46192.0</v>
      </c>
    </row>
    <row r="472" ht="19.5" customHeight="1">
      <c r="A472" s="70" t="s">
        <v>288</v>
      </c>
      <c r="B472" s="62" t="s">
        <v>51</v>
      </c>
      <c r="C472" s="63">
        <v>3.0</v>
      </c>
      <c r="D472" s="49">
        <f>IF(B472="","",VLOOKUP(B472,Magazzino!$B$4:$D$987,2))</f>
        <v>-2</v>
      </c>
      <c r="E472" s="64" t="s">
        <v>64</v>
      </c>
      <c r="F472" s="55">
        <v>46192.0</v>
      </c>
    </row>
    <row r="473" ht="19.5" customHeight="1">
      <c r="A473" s="70" t="s">
        <v>288</v>
      </c>
      <c r="B473" s="62" t="s">
        <v>133</v>
      </c>
      <c r="C473" s="63">
        <v>1.0</v>
      </c>
      <c r="D473" s="49">
        <f>IF(B473="","",VLOOKUP(B473,Magazzino!$B$4:$D$987,2))</f>
        <v>4</v>
      </c>
      <c r="E473" s="64" t="s">
        <v>64</v>
      </c>
      <c r="F473" s="55">
        <v>46192.0</v>
      </c>
    </row>
    <row r="474" ht="19.5" customHeight="1">
      <c r="A474" s="70" t="s">
        <v>288</v>
      </c>
      <c r="B474" s="62" t="s">
        <v>72</v>
      </c>
      <c r="C474" s="63">
        <v>2.0</v>
      </c>
      <c r="D474" s="49">
        <f>IF(B474="","",VLOOKUP(B474,Magazzino!$B$4:$D$987,2))</f>
        <v>0</v>
      </c>
      <c r="E474" s="64" t="s">
        <v>64</v>
      </c>
      <c r="F474" s="55">
        <v>46192.0</v>
      </c>
    </row>
    <row r="475" ht="19.5" customHeight="1">
      <c r="A475" s="70" t="s">
        <v>288</v>
      </c>
      <c r="B475" s="62" t="s">
        <v>78</v>
      </c>
      <c r="C475" s="63">
        <v>2.0</v>
      </c>
      <c r="D475" s="49">
        <f>IF(B475="","",VLOOKUP(B475,Magazzino!$B$4:$D$987,2))</f>
        <v>8</v>
      </c>
      <c r="E475" s="64" t="s">
        <v>64</v>
      </c>
      <c r="F475" s="55">
        <v>46192.0</v>
      </c>
    </row>
    <row r="476" ht="19.5" customHeight="1">
      <c r="A476" s="70" t="s">
        <v>288</v>
      </c>
      <c r="B476" s="62" t="s">
        <v>125</v>
      </c>
      <c r="C476" s="63">
        <v>2.0</v>
      </c>
      <c r="D476" s="49">
        <f>IF(B476="","",VLOOKUP(B476,Magazzino!$B$4:$D$987,2))</f>
        <v>4</v>
      </c>
      <c r="E476" s="64" t="s">
        <v>64</v>
      </c>
      <c r="F476" s="55">
        <v>46192.0</v>
      </c>
    </row>
    <row r="477" ht="19.5" customHeight="1">
      <c r="A477" s="70" t="s">
        <v>288</v>
      </c>
      <c r="B477" s="62" t="s">
        <v>83</v>
      </c>
      <c r="C477" s="63">
        <v>2.0</v>
      </c>
      <c r="D477" s="49">
        <f>IF(B477="","",VLOOKUP(B477,Magazzino!$B$4:$D$987,2))</f>
        <v>10</v>
      </c>
      <c r="E477" s="64" t="s">
        <v>64</v>
      </c>
      <c r="F477" s="55">
        <v>46192.0</v>
      </c>
    </row>
    <row r="478" ht="19.5" customHeight="1">
      <c r="A478" s="70" t="s">
        <v>288</v>
      </c>
      <c r="B478" s="62" t="s">
        <v>121</v>
      </c>
      <c r="C478" s="63">
        <v>2.0</v>
      </c>
      <c r="D478" s="49">
        <f>IF(B478="","",VLOOKUP(B478,Magazzino!$B$4:$D$987,2))</f>
        <v>11</v>
      </c>
      <c r="E478" s="64" t="s">
        <v>64</v>
      </c>
      <c r="F478" s="55">
        <v>46192.0</v>
      </c>
    </row>
    <row r="479" ht="19.5" customHeight="1">
      <c r="A479" s="70" t="s">
        <v>288</v>
      </c>
      <c r="B479" s="62" t="s">
        <v>75</v>
      </c>
      <c r="C479" s="63">
        <v>2.0</v>
      </c>
      <c r="D479" s="49">
        <f>IF(B479="","",VLOOKUP(B479,Magazzino!$B$4:$D$987,2))</f>
        <v>8</v>
      </c>
      <c r="E479" s="64" t="s">
        <v>64</v>
      </c>
      <c r="F479" s="55">
        <v>46192.0</v>
      </c>
    </row>
    <row r="480" ht="19.5" customHeight="1">
      <c r="A480" s="70" t="s">
        <v>288</v>
      </c>
      <c r="B480" s="62" t="s">
        <v>73</v>
      </c>
      <c r="C480" s="63">
        <v>3.0</v>
      </c>
      <c r="D480" s="49">
        <f>IF(B480="","",VLOOKUP(B480,Magazzino!$B$4:$D$987,2))</f>
        <v>9</v>
      </c>
      <c r="E480" s="64" t="s">
        <v>64</v>
      </c>
      <c r="F480" s="55">
        <v>46192.0</v>
      </c>
    </row>
    <row r="481" ht="19.5" customHeight="1">
      <c r="A481" s="70" t="s">
        <v>288</v>
      </c>
      <c r="B481" s="62" t="s">
        <v>124</v>
      </c>
      <c r="C481" s="63">
        <v>2.0</v>
      </c>
      <c r="D481" s="49">
        <f>IF(B481="","",VLOOKUP(B481,Magazzino!$B$4:$D$987,2))</f>
        <v>9</v>
      </c>
      <c r="E481" s="64" t="s">
        <v>64</v>
      </c>
      <c r="F481" s="55">
        <v>46192.0</v>
      </c>
    </row>
    <row r="482" ht="19.5" customHeight="1">
      <c r="A482" s="70" t="s">
        <v>288</v>
      </c>
      <c r="B482" s="62" t="s">
        <v>249</v>
      </c>
      <c r="C482" s="63">
        <v>2.0</v>
      </c>
      <c r="D482" s="49">
        <f>IF(B482="","",VLOOKUP(B482,Magazzino!$B$4:$D$987,2))</f>
        <v>5</v>
      </c>
      <c r="E482" s="64" t="s">
        <v>64</v>
      </c>
      <c r="F482" s="55">
        <v>46192.0</v>
      </c>
    </row>
    <row r="483" ht="19.5" customHeight="1">
      <c r="A483" s="70" t="s">
        <v>288</v>
      </c>
      <c r="B483" s="62" t="s">
        <v>92</v>
      </c>
      <c r="C483" s="63">
        <v>6.0</v>
      </c>
      <c r="D483" s="49">
        <f>IF(B483="","",VLOOKUP(B483,Magazzino!$B$4:$D$987,2))</f>
        <v>-2</v>
      </c>
      <c r="E483" s="64" t="s">
        <v>64</v>
      </c>
      <c r="F483" s="55">
        <v>46192.0</v>
      </c>
    </row>
    <row r="484" ht="19.5" customHeight="1">
      <c r="A484" s="70" t="s">
        <v>288</v>
      </c>
      <c r="B484" s="62" t="s">
        <v>77</v>
      </c>
      <c r="C484" s="63">
        <v>4.0</v>
      </c>
      <c r="D484" s="49">
        <f>IF(B484="","",VLOOKUP(B484,Magazzino!$B$4:$D$987,2))</f>
        <v>42</v>
      </c>
      <c r="E484" s="64" t="s">
        <v>64</v>
      </c>
      <c r="F484" s="55">
        <v>46192.0</v>
      </c>
    </row>
    <row r="485" ht="19.5" customHeight="1">
      <c r="A485" s="61"/>
      <c r="B485" s="62" t="s">
        <v>151</v>
      </c>
      <c r="C485" s="63">
        <v>2.0</v>
      </c>
      <c r="D485" s="49">
        <f>IF(B485="","",VLOOKUP(B485,Magazzino!$B$4:$D$987,2))</f>
        <v>0</v>
      </c>
      <c r="E485" s="64" t="s">
        <v>185</v>
      </c>
      <c r="F485" s="55">
        <v>46192.0</v>
      </c>
    </row>
    <row r="486" ht="19.5" customHeight="1">
      <c r="A486" s="61"/>
      <c r="B486" s="62" t="s">
        <v>218</v>
      </c>
      <c r="C486" s="63">
        <v>2.0</v>
      </c>
      <c r="D486" s="49">
        <f>IF(B486="","",VLOOKUP(B486,Magazzino!$B$4:$D$987,2))</f>
        <v>0</v>
      </c>
      <c r="E486" s="64" t="s">
        <v>64</v>
      </c>
      <c r="F486" s="55">
        <v>46192.0</v>
      </c>
    </row>
    <row r="487" ht="19.5" customHeight="1">
      <c r="A487" s="61"/>
      <c r="B487" s="62" t="s">
        <v>16</v>
      </c>
      <c r="C487" s="63">
        <v>2.0</v>
      </c>
      <c r="D487" s="49">
        <f>IF(B487="","",VLOOKUP(B487,Magazzino!$B$4:$D$987,2))</f>
        <v>10</v>
      </c>
      <c r="E487" s="64" t="s">
        <v>64</v>
      </c>
      <c r="F487" s="55">
        <v>46192.0</v>
      </c>
    </row>
    <row r="488" ht="19.5" customHeight="1">
      <c r="A488" s="61"/>
      <c r="B488" s="62" t="s">
        <v>122</v>
      </c>
      <c r="C488" s="63">
        <v>1.0</v>
      </c>
      <c r="D488" s="49">
        <f>IF(B488="","",VLOOKUP(B488,Magazzino!$B$4:$D$987,2))</f>
        <v>-8</v>
      </c>
      <c r="E488" s="64" t="s">
        <v>64</v>
      </c>
      <c r="F488" s="55">
        <v>46192.0</v>
      </c>
    </row>
    <row r="489" ht="19.5" customHeight="1">
      <c r="A489" s="61"/>
      <c r="B489" s="62" t="s">
        <v>133</v>
      </c>
      <c r="C489" s="63">
        <v>1.0</v>
      </c>
      <c r="D489" s="49">
        <f>IF(B489="","",VLOOKUP(B489,Magazzino!$B$4:$D$987,2))</f>
        <v>4</v>
      </c>
      <c r="E489" s="64" t="s">
        <v>64</v>
      </c>
      <c r="F489" s="55">
        <v>46192.0</v>
      </c>
    </row>
    <row r="490" ht="19.5" customHeight="1">
      <c r="A490" s="61"/>
      <c r="B490" s="62" t="s">
        <v>44</v>
      </c>
      <c r="C490" s="63">
        <v>2.0</v>
      </c>
      <c r="D490" s="49">
        <f>IF(B490="","",VLOOKUP(B490,Magazzino!$B$4:$D$987,2))</f>
        <v>16</v>
      </c>
      <c r="E490" s="64" t="s">
        <v>64</v>
      </c>
      <c r="F490" s="55">
        <v>46192.0</v>
      </c>
    </row>
    <row r="491" ht="19.5" customHeight="1">
      <c r="A491" s="61"/>
      <c r="B491" s="62" t="s">
        <v>49</v>
      </c>
      <c r="C491" s="63">
        <v>2.0</v>
      </c>
      <c r="D491" s="49">
        <f>IF(B491="","",VLOOKUP(B491,Magazzino!$B$4:$D$987,2))</f>
        <v>-2</v>
      </c>
      <c r="E491" s="64" t="s">
        <v>64</v>
      </c>
      <c r="F491" s="55">
        <v>46192.0</v>
      </c>
    </row>
    <row r="492" ht="19.5" customHeight="1">
      <c r="A492" s="61"/>
      <c r="B492" s="62" t="s">
        <v>82</v>
      </c>
      <c r="C492" s="63">
        <v>1.0</v>
      </c>
      <c r="D492" s="49">
        <f>IF(B492="","",VLOOKUP(B492,Magazzino!$B$4:$D$987,2))</f>
        <v>-2</v>
      </c>
      <c r="E492" s="64" t="s">
        <v>64</v>
      </c>
      <c r="F492" s="55">
        <v>46192.0</v>
      </c>
    </row>
    <row r="493" ht="19.5" customHeight="1">
      <c r="A493" s="61"/>
      <c r="B493" s="62" t="s">
        <v>85</v>
      </c>
      <c r="C493" s="63">
        <v>1.0</v>
      </c>
      <c r="D493" s="49">
        <f>IF(B493="","",VLOOKUP(B493,Magazzino!$B$4:$D$987,2))</f>
        <v>-2</v>
      </c>
      <c r="E493" s="64" t="s">
        <v>64</v>
      </c>
      <c r="F493" s="55">
        <v>46193.0</v>
      </c>
    </row>
    <row r="494" ht="19.5" customHeight="1">
      <c r="A494" s="61"/>
      <c r="B494" s="62" t="s">
        <v>73</v>
      </c>
      <c r="C494" s="63">
        <v>1.0</v>
      </c>
      <c r="D494" s="49">
        <f>IF(B494="","",VLOOKUP(B494,Magazzino!$B$4:$D$987,2))</f>
        <v>9</v>
      </c>
      <c r="E494" s="64" t="s">
        <v>64</v>
      </c>
      <c r="F494" s="55">
        <v>46193.0</v>
      </c>
    </row>
    <row r="495" ht="19.5" customHeight="1">
      <c r="A495" s="61"/>
      <c r="B495" s="62" t="s">
        <v>32</v>
      </c>
      <c r="C495" s="63">
        <v>1.0</v>
      </c>
      <c r="D495" s="49">
        <f>IF(B495="","",VLOOKUP(B495,Magazzino!$B$4:$D$987,2))</f>
        <v>-2</v>
      </c>
      <c r="E495" s="64" t="s">
        <v>129</v>
      </c>
      <c r="F495" s="55">
        <v>46193.0</v>
      </c>
    </row>
    <row r="496" ht="19.5" customHeight="1">
      <c r="A496" s="61"/>
      <c r="B496" s="62" t="s">
        <v>112</v>
      </c>
      <c r="C496" s="63">
        <v>1.0</v>
      </c>
      <c r="D496" s="49">
        <f>IF(B496="","",VLOOKUP(B496,Magazzino!$B$4:$D$987,2))</f>
        <v>1</v>
      </c>
      <c r="E496" s="64" t="s">
        <v>129</v>
      </c>
      <c r="F496" s="55">
        <v>46193.0</v>
      </c>
    </row>
    <row r="497" ht="19.5" customHeight="1">
      <c r="A497" s="61"/>
      <c r="B497" s="62" t="s">
        <v>80</v>
      </c>
      <c r="C497" s="63">
        <v>1.0</v>
      </c>
      <c r="D497" s="49">
        <f>IF(B497="","",VLOOKUP(B497,Magazzino!$B$4:$D$987,2))</f>
        <v>9</v>
      </c>
      <c r="E497" s="64" t="s">
        <v>129</v>
      </c>
      <c r="F497" s="55">
        <v>46193.0</v>
      </c>
    </row>
    <row r="498" ht="19.5" customHeight="1">
      <c r="A498" s="70" t="s">
        <v>288</v>
      </c>
      <c r="B498" s="62" t="s">
        <v>120</v>
      </c>
      <c r="C498" s="63">
        <v>5.0</v>
      </c>
      <c r="D498" s="49">
        <f>IF(B498="","",VLOOKUP(B498,Magazzino!$B$4:$D$987,2))</f>
        <v>24</v>
      </c>
      <c r="E498" s="64" t="s">
        <v>64</v>
      </c>
      <c r="F498" s="55">
        <v>46193.0</v>
      </c>
    </row>
    <row r="499" ht="19.5" customHeight="1">
      <c r="A499" s="70" t="s">
        <v>288</v>
      </c>
      <c r="B499" s="62" t="s">
        <v>21</v>
      </c>
      <c r="C499" s="63">
        <v>5.0</v>
      </c>
      <c r="D499" s="49">
        <f>IF(B499="","",VLOOKUP(B499,Magazzino!$B$4:$D$987,2))</f>
        <v>75</v>
      </c>
      <c r="E499" s="64" t="s">
        <v>64</v>
      </c>
      <c r="F499" s="55">
        <v>46193.0</v>
      </c>
    </row>
    <row r="500" ht="19.5" customHeight="1">
      <c r="A500" s="61"/>
      <c r="B500" s="62" t="s">
        <v>170</v>
      </c>
      <c r="C500" s="63">
        <v>5.0</v>
      </c>
      <c r="D500" s="49">
        <f>IF(B500="","",VLOOKUP(B500,Magazzino!$B$4:$D$987,2))</f>
        <v>30</v>
      </c>
      <c r="E500" s="64" t="s">
        <v>64</v>
      </c>
      <c r="F500" s="55">
        <v>46193.0</v>
      </c>
    </row>
    <row r="501" ht="19.5" customHeight="1">
      <c r="A501" s="61"/>
      <c r="B501" s="62" t="s">
        <v>37</v>
      </c>
      <c r="C501" s="63">
        <v>5.0</v>
      </c>
      <c r="D501" s="49">
        <f>IF(B501="","",VLOOKUP(B501,Magazzino!$B$4:$D$987,2))</f>
        <v>18</v>
      </c>
      <c r="E501" s="64" t="s">
        <v>64</v>
      </c>
      <c r="F501" s="55">
        <v>46193.0</v>
      </c>
    </row>
    <row r="502" ht="19.5" customHeight="1">
      <c r="A502" s="61"/>
      <c r="B502" s="62" t="s">
        <v>53</v>
      </c>
      <c r="C502" s="63">
        <v>4.0</v>
      </c>
      <c r="D502" s="49">
        <f>IF(B502="","",VLOOKUP(B502,Magazzino!$B$4:$D$987,2))</f>
        <v>24</v>
      </c>
      <c r="E502" s="64" t="s">
        <v>64</v>
      </c>
      <c r="F502" s="55">
        <v>46193.0</v>
      </c>
    </row>
    <row r="503" ht="19.5" customHeight="1">
      <c r="A503" s="61"/>
      <c r="B503" s="62" t="s">
        <v>38</v>
      </c>
      <c r="C503" s="63">
        <v>3.0</v>
      </c>
      <c r="D503" s="49">
        <f>IF(B503="","",VLOOKUP(B503,Magazzino!$B$4:$D$987,2))</f>
        <v>12</v>
      </c>
      <c r="E503" s="64" t="s">
        <v>64</v>
      </c>
      <c r="F503" s="55">
        <v>46193.0</v>
      </c>
    </row>
    <row r="504" ht="19.5" customHeight="1">
      <c r="A504" s="61"/>
      <c r="B504" s="62" t="s">
        <v>41</v>
      </c>
      <c r="C504" s="63">
        <v>1.0</v>
      </c>
      <c r="D504" s="49">
        <f>IF(B504="","",VLOOKUP(B504,Magazzino!$B$4:$D$987,2))</f>
        <v>5</v>
      </c>
      <c r="E504" s="64" t="s">
        <v>129</v>
      </c>
      <c r="F504" s="55">
        <v>46193.0</v>
      </c>
    </row>
    <row r="505" ht="19.5" customHeight="1">
      <c r="A505" s="61"/>
      <c r="B505" s="62" t="s">
        <v>56</v>
      </c>
      <c r="C505" s="63">
        <v>2.0</v>
      </c>
      <c r="D505" s="49">
        <f>IF(B505="","",VLOOKUP(B505,Magazzino!$B$4:$D$987,2))</f>
        <v>-2</v>
      </c>
      <c r="E505" s="64" t="s">
        <v>64</v>
      </c>
      <c r="F505" s="55">
        <v>46195.0</v>
      </c>
    </row>
    <row r="506" ht="19.5" customHeight="1">
      <c r="A506" s="61"/>
      <c r="B506" s="62" t="s">
        <v>164</v>
      </c>
      <c r="C506" s="63">
        <v>2.0</v>
      </c>
      <c r="D506" s="49">
        <f>IF(B506="","",VLOOKUP(B506,Magazzino!$B$4:$D$987,2))</f>
        <v>-2</v>
      </c>
      <c r="E506" s="64" t="s">
        <v>64</v>
      </c>
      <c r="F506" s="55">
        <v>46195.0</v>
      </c>
    </row>
    <row r="507" ht="19.5" customHeight="1">
      <c r="A507" s="61"/>
      <c r="B507" s="62" t="s">
        <v>51</v>
      </c>
      <c r="C507" s="63">
        <v>2.0</v>
      </c>
      <c r="D507" s="49">
        <f>IF(B507="","",VLOOKUP(B507,Magazzino!$B$4:$D$987,2))</f>
        <v>-2</v>
      </c>
      <c r="E507" s="64" t="s">
        <v>64</v>
      </c>
      <c r="F507" s="55">
        <v>46195.0</v>
      </c>
    </row>
    <row r="508" ht="19.5" customHeight="1">
      <c r="A508" s="61"/>
      <c r="B508" s="62" t="s">
        <v>47</v>
      </c>
      <c r="C508" s="63">
        <v>2.0</v>
      </c>
      <c r="D508" s="49">
        <f>IF(B508="","",VLOOKUP(B508,Magazzino!$B$4:$D$987,2))</f>
        <v>5</v>
      </c>
      <c r="E508" s="64" t="s">
        <v>64</v>
      </c>
      <c r="F508" s="55">
        <v>46195.0</v>
      </c>
    </row>
    <row r="509" ht="19.5" customHeight="1">
      <c r="A509" s="61"/>
      <c r="B509" s="62" t="s">
        <v>196</v>
      </c>
      <c r="C509" s="63">
        <v>1.0</v>
      </c>
      <c r="D509" s="49">
        <f>IF(B509="","",VLOOKUP(B509,Magazzino!$B$4:$D$987,2))</f>
        <v>-2</v>
      </c>
      <c r="E509" s="64" t="s">
        <v>64</v>
      </c>
      <c r="F509" s="55">
        <v>46195.0</v>
      </c>
    </row>
    <row r="510" ht="19.5" customHeight="1">
      <c r="A510" s="61"/>
      <c r="B510" s="62" t="s">
        <v>28</v>
      </c>
      <c r="C510" s="63">
        <v>1.0</v>
      </c>
      <c r="D510" s="49">
        <f>IF(B510="","",VLOOKUP(B510,Magazzino!$B$4:$D$987,2))</f>
        <v>40</v>
      </c>
      <c r="E510" s="64" t="s">
        <v>194</v>
      </c>
      <c r="F510" s="55">
        <v>46196.0</v>
      </c>
    </row>
    <row r="511" ht="19.5" customHeight="1">
      <c r="A511" s="61"/>
      <c r="B511" s="62" t="s">
        <v>28</v>
      </c>
      <c r="C511" s="63">
        <v>2.0</v>
      </c>
      <c r="D511" s="49">
        <f>IF(B511="","",VLOOKUP(B511,Magazzino!$B$4:$D$987,2))</f>
        <v>40</v>
      </c>
      <c r="E511" s="64" t="s">
        <v>129</v>
      </c>
      <c r="F511" s="55">
        <v>46197.0</v>
      </c>
    </row>
    <row r="512" ht="19.5" customHeight="1">
      <c r="A512" s="61"/>
      <c r="B512" s="62" t="s">
        <v>122</v>
      </c>
      <c r="C512" s="63">
        <v>1.0</v>
      </c>
      <c r="D512" s="49">
        <f>IF(B512="","",VLOOKUP(B512,Magazzino!$B$4:$D$987,2))</f>
        <v>-8</v>
      </c>
      <c r="E512" s="64" t="s">
        <v>129</v>
      </c>
      <c r="F512" s="55">
        <v>46197.0</v>
      </c>
    </row>
    <row r="513" ht="19.5" customHeight="1">
      <c r="A513" s="61"/>
      <c r="B513" s="62" t="s">
        <v>134</v>
      </c>
      <c r="C513" s="63">
        <v>1.0</v>
      </c>
      <c r="D513" s="49">
        <f>IF(B513="","",VLOOKUP(B513,Magazzino!$B$4:$D$987,2))</f>
        <v>30</v>
      </c>
      <c r="E513" s="64" t="s">
        <v>129</v>
      </c>
      <c r="F513" s="55">
        <v>46197.0</v>
      </c>
    </row>
    <row r="514" ht="19.5" customHeight="1">
      <c r="A514" s="61"/>
      <c r="B514" s="62" t="s">
        <v>85</v>
      </c>
      <c r="C514" s="63">
        <v>1.0</v>
      </c>
      <c r="D514" s="49">
        <f>IF(B514="","",VLOOKUP(B514,Magazzino!$B$4:$D$987,2))</f>
        <v>-2</v>
      </c>
      <c r="E514" s="64" t="s">
        <v>129</v>
      </c>
      <c r="F514" s="55">
        <v>46197.0</v>
      </c>
    </row>
    <row r="515" ht="19.5" customHeight="1">
      <c r="A515" s="61"/>
      <c r="B515" s="62" t="s">
        <v>19</v>
      </c>
      <c r="C515" s="63">
        <v>2.0</v>
      </c>
      <c r="D515" s="49">
        <f>IF(B515="","",VLOOKUP(B515,Magazzino!$B$4:$D$987,2))</f>
        <v>3</v>
      </c>
      <c r="E515" s="64" t="s">
        <v>129</v>
      </c>
      <c r="F515" s="55">
        <v>46197.0</v>
      </c>
    </row>
    <row r="516" ht="19.5" customHeight="1">
      <c r="A516" s="61"/>
      <c r="B516" s="62" t="s">
        <v>124</v>
      </c>
      <c r="C516" s="63">
        <v>1.0</v>
      </c>
      <c r="D516" s="49">
        <f>IF(B516="","",VLOOKUP(B516,Magazzino!$B$4:$D$987,2))</f>
        <v>9</v>
      </c>
      <c r="E516" s="64" t="s">
        <v>129</v>
      </c>
      <c r="F516" s="55">
        <v>46197.0</v>
      </c>
    </row>
    <row r="517" ht="19.5" customHeight="1">
      <c r="A517" s="61"/>
      <c r="B517" s="62" t="s">
        <v>118</v>
      </c>
      <c r="C517" s="63">
        <v>1.0</v>
      </c>
      <c r="D517" s="49">
        <f>IF(B517="","",VLOOKUP(B517,Magazzino!$B$4:$D$987,2))</f>
        <v>-2</v>
      </c>
      <c r="E517" s="64" t="s">
        <v>129</v>
      </c>
      <c r="F517" s="55">
        <v>46197.0</v>
      </c>
    </row>
    <row r="518" ht="19.5" customHeight="1">
      <c r="A518" s="61"/>
      <c r="B518" s="62" t="s">
        <v>130</v>
      </c>
      <c r="C518" s="63">
        <v>1.0</v>
      </c>
      <c r="D518" s="49">
        <f>IF(B518="","",VLOOKUP(B518,Magazzino!$B$4:$D$987,2))</f>
        <v>-2</v>
      </c>
      <c r="E518" s="64" t="s">
        <v>129</v>
      </c>
      <c r="F518" s="55">
        <v>46197.0</v>
      </c>
    </row>
    <row r="519" ht="19.5" customHeight="1">
      <c r="A519" s="61"/>
      <c r="B519" s="62" t="s">
        <v>52</v>
      </c>
      <c r="C519" s="63">
        <v>1.0</v>
      </c>
      <c r="D519" s="49">
        <f>IF(B519="","",VLOOKUP(B519,Magazzino!$B$4:$D$987,2))</f>
        <v>18</v>
      </c>
      <c r="E519" s="64" t="s">
        <v>64</v>
      </c>
      <c r="F519" s="55">
        <v>46197.0</v>
      </c>
    </row>
    <row r="520" ht="19.5" customHeight="1">
      <c r="A520" s="61"/>
      <c r="B520" s="62" t="s">
        <v>277</v>
      </c>
      <c r="C520" s="63">
        <v>2.0</v>
      </c>
      <c r="D520" s="49">
        <f>IF(B520="","",VLOOKUP(B520,Magazzino!$B$4:$D$987,2))</f>
        <v>1</v>
      </c>
      <c r="E520" s="64" t="s">
        <v>64</v>
      </c>
      <c r="F520" s="55">
        <v>46197.0</v>
      </c>
    </row>
    <row r="521" ht="19.5" customHeight="1">
      <c r="A521" s="61"/>
      <c r="B521" s="62" t="s">
        <v>33</v>
      </c>
      <c r="C521" s="63">
        <v>2.0</v>
      </c>
      <c r="D521" s="49">
        <f>IF(B521="","",VLOOKUP(B521,Magazzino!$B$4:$D$987,2))</f>
        <v>1</v>
      </c>
      <c r="E521" s="64" t="s">
        <v>64</v>
      </c>
      <c r="F521" s="55">
        <v>46197.0</v>
      </c>
    </row>
    <row r="522" ht="19.5" customHeight="1">
      <c r="A522" s="61"/>
      <c r="B522" s="62" t="s">
        <v>36</v>
      </c>
      <c r="C522" s="63">
        <v>2.0</v>
      </c>
      <c r="D522" s="49">
        <f>IF(B522="","",VLOOKUP(B522,Magazzino!$B$4:$D$987,2))</f>
        <v>1</v>
      </c>
      <c r="E522" s="64" t="s">
        <v>64</v>
      </c>
      <c r="F522" s="55">
        <v>46197.0</v>
      </c>
    </row>
    <row r="523" ht="19.5" customHeight="1">
      <c r="A523" s="61"/>
      <c r="B523" s="62" t="s">
        <v>186</v>
      </c>
      <c r="C523" s="63">
        <v>1.0</v>
      </c>
      <c r="D523" s="49">
        <f>IF(B523="","",VLOOKUP(B523,Magazzino!$B$4:$D$987,2))</f>
        <v>40</v>
      </c>
      <c r="E523" s="64" t="s">
        <v>194</v>
      </c>
      <c r="F523" s="55">
        <v>46197.0</v>
      </c>
    </row>
    <row r="524" ht="19.5" customHeight="1">
      <c r="A524" s="61"/>
      <c r="B524" s="62" t="s">
        <v>178</v>
      </c>
      <c r="C524" s="63">
        <v>1.0</v>
      </c>
      <c r="D524" s="49">
        <f>IF(B524="","",VLOOKUP(B524,Magazzino!$B$4:$D$987,2))</f>
        <v>-3</v>
      </c>
      <c r="E524" s="64" t="s">
        <v>289</v>
      </c>
      <c r="F524" s="55">
        <v>46197.0</v>
      </c>
    </row>
    <row r="525" ht="19.5" customHeight="1">
      <c r="A525" s="61"/>
      <c r="B525" s="62" t="s">
        <v>120</v>
      </c>
      <c r="C525" s="63">
        <v>5.0</v>
      </c>
      <c r="D525" s="49">
        <f>IF(B525="","",VLOOKUP(B525,Magazzino!$B$4:$D$987,2))</f>
        <v>24</v>
      </c>
      <c r="E525" s="64" t="s">
        <v>64</v>
      </c>
      <c r="F525" s="55">
        <v>46198.0</v>
      </c>
    </row>
    <row r="526" ht="19.5" customHeight="1">
      <c r="A526" s="61"/>
      <c r="B526" s="62" t="s">
        <v>21</v>
      </c>
      <c r="C526" s="63">
        <v>5.0</v>
      </c>
      <c r="D526" s="49">
        <f>IF(B526="","",VLOOKUP(B526,Magazzino!$B$4:$D$987,2))</f>
        <v>75</v>
      </c>
      <c r="E526" s="64" t="s">
        <v>64</v>
      </c>
      <c r="F526" s="55">
        <v>46198.0</v>
      </c>
    </row>
    <row r="527" ht="19.5" customHeight="1">
      <c r="A527" s="61"/>
      <c r="B527" s="62" t="s">
        <v>77</v>
      </c>
      <c r="C527" s="63">
        <v>2.0</v>
      </c>
      <c r="D527" s="49">
        <f>IF(B527="","",VLOOKUP(B527,Magazzino!$B$4:$D$987,2))</f>
        <v>42</v>
      </c>
      <c r="E527" s="64" t="s">
        <v>64</v>
      </c>
      <c r="F527" s="55">
        <v>46198.0</v>
      </c>
    </row>
    <row r="528" ht="19.5" customHeight="1">
      <c r="A528" s="61"/>
      <c r="B528" s="62" t="s">
        <v>119</v>
      </c>
      <c r="C528" s="63">
        <v>2.0</v>
      </c>
      <c r="D528" s="49">
        <f>IF(B528="","",VLOOKUP(B528,Magazzino!$B$4:$D$987,2))</f>
        <v>0</v>
      </c>
      <c r="E528" s="64" t="s">
        <v>64</v>
      </c>
      <c r="F528" s="55">
        <v>46198.0</v>
      </c>
    </row>
    <row r="529" ht="19.5" customHeight="1">
      <c r="A529" s="61"/>
      <c r="B529" s="62" t="s">
        <v>40</v>
      </c>
      <c r="C529" s="63">
        <v>1.0</v>
      </c>
      <c r="D529" s="49">
        <f>IF(B529="","",VLOOKUP(B529,Magazzino!$B$4:$D$987,2))</f>
        <v>17</v>
      </c>
      <c r="E529" s="64" t="s">
        <v>129</v>
      </c>
      <c r="F529" s="55">
        <v>46204.0</v>
      </c>
    </row>
    <row r="530" ht="19.5" customHeight="1">
      <c r="A530" s="61"/>
      <c r="B530" s="62" t="s">
        <v>45</v>
      </c>
      <c r="C530" s="63">
        <v>2.0</v>
      </c>
      <c r="D530" s="49">
        <f>IF(B530="","",VLOOKUP(B530,Magazzino!$B$4:$D$987,2))</f>
        <v>102</v>
      </c>
      <c r="E530" s="64" t="s">
        <v>129</v>
      </c>
      <c r="F530" s="55">
        <v>46204.0</v>
      </c>
    </row>
    <row r="531" ht="19.5" customHeight="1">
      <c r="A531" s="61"/>
      <c r="B531" s="62" t="s">
        <v>222</v>
      </c>
      <c r="C531" s="63">
        <v>1.0</v>
      </c>
      <c r="D531" s="49">
        <f>IF(B531="","",VLOOKUP(B531,Magazzino!$B$4:$D$987,2))</f>
        <v>1</v>
      </c>
      <c r="E531" s="64" t="s">
        <v>185</v>
      </c>
      <c r="F531" s="55">
        <v>46204.0</v>
      </c>
    </row>
    <row r="532" ht="19.5" customHeight="1">
      <c r="A532" s="61"/>
      <c r="B532" s="62" t="s">
        <v>122</v>
      </c>
      <c r="C532" s="63">
        <v>1.0</v>
      </c>
      <c r="D532" s="49">
        <f>IF(B532="","",VLOOKUP(B532,Magazzino!$B$4:$D$987,2))</f>
        <v>-8</v>
      </c>
      <c r="E532" s="64" t="s">
        <v>111</v>
      </c>
      <c r="F532" s="55">
        <v>46204.0</v>
      </c>
    </row>
    <row r="533" ht="19.5" customHeight="1">
      <c r="A533" s="61"/>
      <c r="B533" s="62" t="s">
        <v>117</v>
      </c>
      <c r="C533" s="63">
        <v>1.0</v>
      </c>
      <c r="D533" s="49">
        <f>IF(B533="","",VLOOKUP(B533,Magazzino!$B$4:$D$987,2))</f>
        <v>27</v>
      </c>
      <c r="E533" s="64" t="s">
        <v>111</v>
      </c>
      <c r="F533" s="55">
        <v>46204.0</v>
      </c>
    </row>
    <row r="534" ht="19.5" customHeight="1">
      <c r="A534" s="61"/>
      <c r="B534" s="62" t="s">
        <v>149</v>
      </c>
      <c r="C534" s="63">
        <v>6.0</v>
      </c>
      <c r="D534" s="49">
        <f>IF(B534="","",VLOOKUP(B534,Magazzino!$B$4:$D$987,2))</f>
        <v>11</v>
      </c>
      <c r="E534" s="64" t="s">
        <v>111</v>
      </c>
      <c r="F534" s="55">
        <v>46204.0</v>
      </c>
    </row>
    <row r="535" ht="19.5" customHeight="1">
      <c r="A535" s="61"/>
      <c r="B535" s="62" t="s">
        <v>71</v>
      </c>
      <c r="C535" s="63">
        <v>1.0</v>
      </c>
      <c r="D535" s="49">
        <f>IF(B535="","",VLOOKUP(B535,Magazzino!$B$4:$D$987,2))</f>
        <v>0</v>
      </c>
      <c r="E535" s="64" t="s">
        <v>111</v>
      </c>
      <c r="F535" s="55">
        <v>46205.0</v>
      </c>
    </row>
    <row r="536" ht="19.5" customHeight="1">
      <c r="A536" s="61"/>
      <c r="B536" s="62" t="s">
        <v>226</v>
      </c>
      <c r="C536" s="63">
        <v>2.0</v>
      </c>
      <c r="D536" s="49">
        <f>IF(B536="","",VLOOKUP(B536,Magazzino!$B$4:$D$987,2))</f>
        <v>25</v>
      </c>
      <c r="E536" s="64" t="s">
        <v>111</v>
      </c>
      <c r="F536" s="55">
        <v>46205.0</v>
      </c>
    </row>
    <row r="537" ht="19.5" customHeight="1">
      <c r="A537" s="61"/>
      <c r="B537" s="62" t="s">
        <v>77</v>
      </c>
      <c r="C537" s="63">
        <v>2.0</v>
      </c>
      <c r="D537" s="49">
        <f>IF(B537="","",VLOOKUP(B537,Magazzino!$B$4:$D$987,2))</f>
        <v>42</v>
      </c>
      <c r="E537" s="64" t="s">
        <v>250</v>
      </c>
      <c r="F537" s="55">
        <v>46206.0</v>
      </c>
    </row>
    <row r="538" ht="19.5" customHeight="1">
      <c r="A538" s="61"/>
      <c r="B538" s="62" t="s">
        <v>217</v>
      </c>
      <c r="C538" s="63">
        <v>2.0</v>
      </c>
      <c r="D538" s="49">
        <f>IF(B538="","",VLOOKUP(B538,Magazzino!$B$4:$D$987,2))</f>
        <v>13</v>
      </c>
      <c r="E538" s="64" t="s">
        <v>64</v>
      </c>
      <c r="F538" s="55">
        <v>46206.0</v>
      </c>
    </row>
    <row r="539" ht="19.5" customHeight="1">
      <c r="A539" s="61"/>
      <c r="B539" s="62" t="s">
        <v>178</v>
      </c>
      <c r="C539" s="63">
        <v>1.0</v>
      </c>
      <c r="D539" s="49">
        <f>IF(B539="","",VLOOKUP(B539,Magazzino!$B$4:$D$987,2))</f>
        <v>-3</v>
      </c>
      <c r="E539" s="64" t="s">
        <v>194</v>
      </c>
      <c r="F539" s="55">
        <v>46206.0</v>
      </c>
    </row>
    <row r="540" ht="19.5" customHeight="1">
      <c r="A540" s="61"/>
      <c r="B540" s="62" t="s">
        <v>44</v>
      </c>
      <c r="C540" s="63">
        <v>2.0</v>
      </c>
      <c r="D540" s="49">
        <f>IF(B540="","",VLOOKUP(B540,Magazzino!$B$4:$D$987,2))</f>
        <v>16</v>
      </c>
      <c r="E540" s="64" t="s">
        <v>64</v>
      </c>
      <c r="F540" s="55">
        <v>46207.0</v>
      </c>
    </row>
    <row r="541" ht="19.5" customHeight="1">
      <c r="A541" s="61"/>
      <c r="B541" s="62" t="s">
        <v>121</v>
      </c>
      <c r="C541" s="63">
        <v>1.0</v>
      </c>
      <c r="D541" s="49">
        <f>IF(B541="","",VLOOKUP(B541,Magazzino!$B$4:$D$987,2))</f>
        <v>11</v>
      </c>
      <c r="E541" s="64" t="s">
        <v>64</v>
      </c>
      <c r="F541" s="55">
        <v>46207.0</v>
      </c>
    </row>
    <row r="542" ht="19.5" customHeight="1">
      <c r="A542" s="61"/>
      <c r="B542" s="62" t="s">
        <v>218</v>
      </c>
      <c r="C542" s="63">
        <v>2.0</v>
      </c>
      <c r="D542" s="49">
        <f>IF(B542="","",VLOOKUP(B542,Magazzino!$B$4:$D$987,2))</f>
        <v>0</v>
      </c>
      <c r="E542" s="64" t="s">
        <v>64</v>
      </c>
      <c r="F542" s="55">
        <v>46207.0</v>
      </c>
    </row>
    <row r="543" ht="19.5" customHeight="1">
      <c r="A543" s="61"/>
      <c r="B543" s="62" t="s">
        <v>73</v>
      </c>
      <c r="C543" s="63">
        <v>2.0</v>
      </c>
      <c r="D543" s="49">
        <f>IF(B543="","",VLOOKUP(B543,Magazzino!$B$4:$D$987,2))</f>
        <v>9</v>
      </c>
      <c r="E543" s="64" t="s">
        <v>64</v>
      </c>
      <c r="F543" s="71">
        <v>46207.0</v>
      </c>
    </row>
    <row r="544" ht="19.5" customHeight="1">
      <c r="A544" s="61"/>
      <c r="B544" s="62" t="s">
        <v>47</v>
      </c>
      <c r="C544" s="63">
        <v>2.0</v>
      </c>
      <c r="D544" s="49">
        <f>IF(B544="","",VLOOKUP(B544,Magazzino!$B$4:$D$987,2))</f>
        <v>5</v>
      </c>
      <c r="E544" s="64" t="s">
        <v>64</v>
      </c>
      <c r="F544" s="55">
        <v>46207.0</v>
      </c>
    </row>
    <row r="545" ht="19.5" customHeight="1">
      <c r="A545" s="61"/>
      <c r="B545" s="62" t="s">
        <v>119</v>
      </c>
      <c r="C545" s="63">
        <v>2.0</v>
      </c>
      <c r="D545" s="49">
        <f>IF(B545="","",VLOOKUP(B545,Magazzino!$B$4:$D$987,2))</f>
        <v>0</v>
      </c>
      <c r="E545" s="64" t="s">
        <v>64</v>
      </c>
      <c r="F545" s="55">
        <v>46207.0</v>
      </c>
    </row>
    <row r="546" ht="19.5" customHeight="1">
      <c r="A546" s="61"/>
      <c r="B546" s="62" t="s">
        <v>80</v>
      </c>
      <c r="C546" s="63">
        <v>2.0</v>
      </c>
      <c r="D546" s="49">
        <f>IF(B546="","",VLOOKUP(B546,Magazzino!$B$4:$D$987,2))</f>
        <v>9</v>
      </c>
      <c r="E546" s="64" t="s">
        <v>64</v>
      </c>
      <c r="F546" s="55">
        <v>46207.0</v>
      </c>
    </row>
    <row r="547" ht="19.5" customHeight="1">
      <c r="A547" s="61"/>
      <c r="B547" s="62" t="s">
        <v>28</v>
      </c>
      <c r="C547" s="63">
        <v>2.0</v>
      </c>
      <c r="D547" s="49">
        <f>IF(B547="","",VLOOKUP(B547,Magazzino!$B$4:$D$987,2))</f>
        <v>40</v>
      </c>
      <c r="E547" s="64" t="s">
        <v>64</v>
      </c>
      <c r="F547" s="55">
        <v>46207.0</v>
      </c>
    </row>
    <row r="548" ht="19.5" customHeight="1">
      <c r="A548" s="61"/>
      <c r="B548" s="62" t="s">
        <v>77</v>
      </c>
      <c r="C548" s="63">
        <v>1.0</v>
      </c>
      <c r="D548" s="49">
        <f>IF(B548="","",VLOOKUP(B548,Magazzino!$B$4:$D$987,2))</f>
        <v>42</v>
      </c>
      <c r="E548" s="64" t="s">
        <v>64</v>
      </c>
      <c r="F548" s="55">
        <v>46207.0</v>
      </c>
    </row>
    <row r="549" ht="19.5" customHeight="1">
      <c r="A549" s="61"/>
      <c r="B549" s="62" t="s">
        <v>135</v>
      </c>
      <c r="C549" s="63">
        <v>1.0</v>
      </c>
      <c r="D549" s="49">
        <f>IF(B549="","",VLOOKUP(B549,Magazzino!$B$4:$D$987,2))</f>
        <v>12</v>
      </c>
      <c r="E549" s="64" t="s">
        <v>64</v>
      </c>
      <c r="F549" s="55">
        <v>46207.0</v>
      </c>
    </row>
    <row r="550" ht="19.5" customHeight="1">
      <c r="A550" s="61"/>
      <c r="B550" s="62" t="s">
        <v>80</v>
      </c>
      <c r="C550" s="63">
        <v>1.0</v>
      </c>
      <c r="D550" s="49">
        <f>IF(B550="","",VLOOKUP(B550,Magazzino!$B$4:$D$987,2))</f>
        <v>9</v>
      </c>
      <c r="E550" s="64" t="s">
        <v>129</v>
      </c>
      <c r="F550" s="55">
        <v>46209.0</v>
      </c>
    </row>
    <row r="551" ht="19.5" customHeight="1">
      <c r="A551" s="61"/>
      <c r="B551" s="62" t="s">
        <v>110</v>
      </c>
      <c r="C551" s="63">
        <v>2.0</v>
      </c>
      <c r="D551" s="49">
        <f>IF(B551="","",VLOOKUP(B551,Magazzino!$B$4:$D$987,2))</f>
        <v>-4</v>
      </c>
      <c r="E551" s="64" t="s">
        <v>129</v>
      </c>
      <c r="F551" s="55">
        <v>46209.0</v>
      </c>
    </row>
    <row r="552" ht="19.5" customHeight="1">
      <c r="A552" s="61"/>
      <c r="B552" s="62" t="s">
        <v>22</v>
      </c>
      <c r="C552" s="63">
        <v>2.0</v>
      </c>
      <c r="D552" s="49">
        <f>IF(B552="","",VLOOKUP(B552,Magazzino!$B$4:$D$987,2))</f>
        <v>5</v>
      </c>
      <c r="E552" s="64" t="s">
        <v>129</v>
      </c>
      <c r="F552" s="55">
        <v>46209.0</v>
      </c>
    </row>
    <row r="553" ht="19.5" customHeight="1">
      <c r="A553" s="61"/>
      <c r="B553" s="62" t="s">
        <v>28</v>
      </c>
      <c r="C553" s="63">
        <v>1.0</v>
      </c>
      <c r="D553" s="49">
        <f>IF(B553="","",VLOOKUP(B553,Magazzino!$B$4:$D$987,2))</f>
        <v>40</v>
      </c>
      <c r="E553" s="64" t="s">
        <v>129</v>
      </c>
      <c r="F553" s="55">
        <v>46209.0</v>
      </c>
    </row>
    <row r="554" ht="19.5" customHeight="1">
      <c r="A554" s="61"/>
      <c r="B554" s="62" t="s">
        <v>33</v>
      </c>
      <c r="C554" s="63">
        <v>1.0</v>
      </c>
      <c r="D554" s="49">
        <f>IF(B554="","",VLOOKUP(B554,Magazzino!$B$4:$D$987,2))</f>
        <v>1</v>
      </c>
      <c r="E554" s="64" t="s">
        <v>129</v>
      </c>
      <c r="F554" s="55">
        <v>46209.0</v>
      </c>
    </row>
    <row r="555" ht="19.5" customHeight="1">
      <c r="A555" s="61"/>
      <c r="B555" s="62" t="s">
        <v>19</v>
      </c>
      <c r="C555" s="63">
        <v>1.0</v>
      </c>
      <c r="D555" s="49">
        <f>IF(B555="","",VLOOKUP(B555,Magazzino!$B$4:$D$987,2))</f>
        <v>3</v>
      </c>
      <c r="E555" s="64" t="s">
        <v>129</v>
      </c>
      <c r="F555" s="55">
        <v>46209.0</v>
      </c>
    </row>
    <row r="556" ht="19.5" customHeight="1">
      <c r="A556" s="61"/>
      <c r="B556" s="62" t="s">
        <v>130</v>
      </c>
      <c r="C556" s="63">
        <v>2.0</v>
      </c>
      <c r="D556" s="49">
        <f>IF(B556="","",VLOOKUP(B556,Magazzino!$B$4:$D$987,2))</f>
        <v>-2</v>
      </c>
      <c r="E556" s="64" t="s">
        <v>129</v>
      </c>
      <c r="F556" s="55">
        <v>46209.0</v>
      </c>
    </row>
    <row r="557" ht="19.5" customHeight="1">
      <c r="A557" s="61"/>
      <c r="B557" s="62" t="s">
        <v>22</v>
      </c>
      <c r="C557" s="63">
        <v>1.0</v>
      </c>
      <c r="D557" s="49">
        <f>IF(B557="","",VLOOKUP(B557,Magazzino!$B$4:$D$987,2))</f>
        <v>5</v>
      </c>
      <c r="E557" s="64" t="s">
        <v>250</v>
      </c>
      <c r="F557" s="55">
        <v>46213.0</v>
      </c>
    </row>
    <row r="558" ht="19.5" customHeight="1">
      <c r="A558" s="61"/>
      <c r="B558" s="62" t="s">
        <v>77</v>
      </c>
      <c r="C558" s="63">
        <v>1.0</v>
      </c>
      <c r="D558" s="49">
        <f>IF(B558="","",VLOOKUP(B558,Magazzino!$B$4:$D$987,2))</f>
        <v>42</v>
      </c>
      <c r="E558" s="64" t="s">
        <v>250</v>
      </c>
      <c r="F558" s="55">
        <v>46213.0</v>
      </c>
    </row>
    <row r="559" ht="19.5" customHeight="1">
      <c r="A559" s="61"/>
      <c r="B559" s="62" t="s">
        <v>120</v>
      </c>
      <c r="C559" s="63">
        <v>2.0</v>
      </c>
      <c r="D559" s="49">
        <f>IF(B559="","",VLOOKUP(B559,Magazzino!$B$4:$D$987,2))</f>
        <v>24</v>
      </c>
      <c r="E559" s="64" t="s">
        <v>129</v>
      </c>
      <c r="F559" s="55">
        <v>46213.0</v>
      </c>
    </row>
    <row r="560" ht="19.5" customHeight="1">
      <c r="A560" s="61"/>
      <c r="B560" s="62" t="s">
        <v>68</v>
      </c>
      <c r="C560" s="63">
        <v>3.0</v>
      </c>
      <c r="D560" s="49">
        <f>IF(B560="","",VLOOKUP(B560,Magazzino!$B$4:$D$987,2))</f>
        <v>192</v>
      </c>
      <c r="E560" s="64" t="s">
        <v>129</v>
      </c>
      <c r="F560" s="55">
        <v>46213.0</v>
      </c>
    </row>
    <row r="561" ht="19.5" customHeight="1">
      <c r="A561" s="61"/>
      <c r="B561" s="62" t="s">
        <v>28</v>
      </c>
      <c r="C561" s="63">
        <v>1.0</v>
      </c>
      <c r="D561" s="49">
        <f>IF(B561="","",VLOOKUP(B561,Magazzino!$B$4:$D$987,2))</f>
        <v>40</v>
      </c>
      <c r="E561" s="64" t="s">
        <v>194</v>
      </c>
      <c r="F561" s="55">
        <v>46213.0</v>
      </c>
    </row>
    <row r="562" ht="19.5" customHeight="1">
      <c r="A562" s="61"/>
      <c r="B562" s="62" t="s">
        <v>77</v>
      </c>
      <c r="C562" s="63">
        <v>1.0</v>
      </c>
      <c r="D562" s="49">
        <f>IF(B562="","",VLOOKUP(B562,Magazzino!$B$4:$D$987,2))</f>
        <v>42</v>
      </c>
      <c r="E562" s="64" t="s">
        <v>250</v>
      </c>
      <c r="F562" s="55">
        <v>46214.0</v>
      </c>
    </row>
    <row r="563" ht="19.5" customHeight="1">
      <c r="A563" s="61"/>
      <c r="B563" s="62" t="s">
        <v>80</v>
      </c>
      <c r="C563" s="63">
        <v>1.0</v>
      </c>
      <c r="D563" s="49">
        <f>IF(B563="","",VLOOKUP(B563,Magazzino!$B$4:$D$987,2))</f>
        <v>9</v>
      </c>
      <c r="E563" s="64" t="s">
        <v>129</v>
      </c>
      <c r="F563" s="55">
        <v>46216.0</v>
      </c>
    </row>
    <row r="564" ht="19.5" customHeight="1">
      <c r="A564" s="61"/>
      <c r="B564" s="62" t="s">
        <v>163</v>
      </c>
      <c r="C564" s="63">
        <v>1.0</v>
      </c>
      <c r="D564" s="49">
        <f>IF(B564="","",VLOOKUP(B564,Magazzino!$B$4:$D$987,2))</f>
        <v>0</v>
      </c>
      <c r="E564" s="64" t="s">
        <v>129</v>
      </c>
      <c r="F564" s="55">
        <v>46216.0</v>
      </c>
    </row>
    <row r="565" ht="19.5" customHeight="1">
      <c r="A565" s="61"/>
      <c r="B565" s="62" t="s">
        <v>22</v>
      </c>
      <c r="C565" s="63">
        <v>1.0</v>
      </c>
      <c r="D565" s="49">
        <f>IF(B565="","",VLOOKUP(B565,Magazzino!$B$4:$D$987,2))</f>
        <v>5</v>
      </c>
      <c r="E565" s="64" t="s">
        <v>129</v>
      </c>
      <c r="F565" s="55">
        <v>46216.0</v>
      </c>
    </row>
    <row r="566" ht="19.5" customHeight="1">
      <c r="A566" s="61"/>
      <c r="B566" s="62" t="s">
        <v>60</v>
      </c>
      <c r="C566" s="63">
        <v>1.0</v>
      </c>
      <c r="D566" s="49">
        <f>IF(B566="","",VLOOKUP(B566,Magazzino!$B$4:$D$987,2))</f>
        <v>6</v>
      </c>
      <c r="E566" s="64" t="s">
        <v>129</v>
      </c>
      <c r="F566" s="55">
        <v>46216.0</v>
      </c>
    </row>
    <row r="567" ht="19.5" customHeight="1">
      <c r="A567" s="61"/>
      <c r="B567" s="62" t="s">
        <v>28</v>
      </c>
      <c r="C567" s="63">
        <v>1.0</v>
      </c>
      <c r="D567" s="49">
        <f>IF(B567="","",VLOOKUP(B567,Magazzino!$B$4:$D$987,2))</f>
        <v>40</v>
      </c>
      <c r="E567" s="64" t="s">
        <v>129</v>
      </c>
      <c r="F567" s="55">
        <v>46216.0</v>
      </c>
    </row>
    <row r="568" ht="19.5" customHeight="1">
      <c r="A568" s="61"/>
      <c r="B568" s="62" t="s">
        <v>130</v>
      </c>
      <c r="C568" s="63">
        <v>1.0</v>
      </c>
      <c r="D568" s="49">
        <f>IF(B568="","",VLOOKUP(B568,Magazzino!$B$4:$D$987,2))</f>
        <v>-2</v>
      </c>
      <c r="E568" s="64" t="s">
        <v>129</v>
      </c>
      <c r="F568" s="55">
        <v>46221.0</v>
      </c>
    </row>
    <row r="569" ht="19.5" customHeight="1">
      <c r="A569" s="61"/>
      <c r="B569" s="62" t="s">
        <v>32</v>
      </c>
      <c r="C569" s="63">
        <v>1.0</v>
      </c>
      <c r="D569" s="49">
        <f>IF(B569="","",VLOOKUP(B569,Magazzino!$B$4:$D$987,2))</f>
        <v>-2</v>
      </c>
      <c r="E569" s="64" t="s">
        <v>129</v>
      </c>
      <c r="F569" s="55">
        <v>46221.0</v>
      </c>
    </row>
    <row r="570" ht="19.5" customHeight="1">
      <c r="A570" s="61"/>
      <c r="B570" s="62" t="s">
        <v>159</v>
      </c>
      <c r="C570" s="63">
        <v>1.0</v>
      </c>
      <c r="D570" s="49">
        <f>IF(B570="","",VLOOKUP(B570,Magazzino!$B$4:$D$987,2))</f>
        <v>2</v>
      </c>
      <c r="E570" s="64" t="s">
        <v>129</v>
      </c>
      <c r="F570" s="55">
        <v>46221.0</v>
      </c>
    </row>
    <row r="571" ht="19.5" customHeight="1">
      <c r="A571" s="61"/>
      <c r="B571" s="62" t="s">
        <v>15</v>
      </c>
      <c r="C571" s="63">
        <v>2.0</v>
      </c>
      <c r="D571" s="49">
        <f>IF(B571="","",VLOOKUP(B571,Magazzino!$B$4:$D$987,2))</f>
        <v>-2</v>
      </c>
      <c r="E571" s="64" t="s">
        <v>129</v>
      </c>
      <c r="F571" s="55">
        <v>46221.0</v>
      </c>
    </row>
    <row r="572" ht="19.5" customHeight="1">
      <c r="A572" s="61"/>
      <c r="B572" s="62" t="s">
        <v>19</v>
      </c>
      <c r="C572" s="63">
        <v>2.0</v>
      </c>
      <c r="D572" s="49">
        <f>IF(B572="","",VLOOKUP(B572,Magazzino!$B$4:$D$987,2))</f>
        <v>3</v>
      </c>
      <c r="E572" s="64" t="s">
        <v>129</v>
      </c>
      <c r="F572" s="55">
        <v>46221.0</v>
      </c>
    </row>
    <row r="573" ht="19.5" customHeight="1">
      <c r="A573" s="61"/>
      <c r="B573" s="62" t="s">
        <v>68</v>
      </c>
      <c r="C573" s="63">
        <v>3.0</v>
      </c>
      <c r="D573" s="49">
        <f>IF(B573="","",VLOOKUP(B573,Magazzino!$B$4:$D$987,2))</f>
        <v>192</v>
      </c>
      <c r="E573" s="64" t="s">
        <v>129</v>
      </c>
      <c r="F573" s="55">
        <v>46221.0</v>
      </c>
    </row>
    <row r="574" ht="19.5" customHeight="1">
      <c r="A574" s="61"/>
      <c r="B574" s="62" t="s">
        <v>178</v>
      </c>
      <c r="C574" s="63">
        <v>1.0</v>
      </c>
      <c r="D574" s="49">
        <f>IF(B574="","",VLOOKUP(B574,Magazzino!$B$4:$D$987,2))</f>
        <v>-3</v>
      </c>
      <c r="E574" s="64" t="s">
        <v>129</v>
      </c>
      <c r="F574" s="55">
        <v>46221.0</v>
      </c>
    </row>
    <row r="575" ht="19.5" customHeight="1">
      <c r="A575" s="61"/>
      <c r="B575" s="62" t="s">
        <v>152</v>
      </c>
      <c r="C575" s="63">
        <v>3.0</v>
      </c>
      <c r="D575" s="49">
        <f>IF(B575="","",VLOOKUP(B575,Magazzino!$B$4:$D$987,2))</f>
        <v>72</v>
      </c>
      <c r="E575" s="64" t="s">
        <v>111</v>
      </c>
      <c r="F575" s="55">
        <v>46221.0</v>
      </c>
    </row>
    <row r="576" ht="19.5" customHeight="1">
      <c r="A576" s="61"/>
      <c r="B576" s="62" t="s">
        <v>149</v>
      </c>
      <c r="C576" s="63">
        <v>5.0</v>
      </c>
      <c r="D576" s="49">
        <f>IF(B576="","",VLOOKUP(B576,Magazzino!$B$4:$D$987,2))</f>
        <v>11</v>
      </c>
      <c r="E576" s="64" t="s">
        <v>111</v>
      </c>
      <c r="F576" s="55">
        <v>46221.0</v>
      </c>
    </row>
    <row r="577" ht="19.5" customHeight="1">
      <c r="A577" s="61"/>
      <c r="B577" s="62" t="s">
        <v>77</v>
      </c>
      <c r="C577" s="63">
        <v>1.0</v>
      </c>
      <c r="D577" s="49">
        <f>IF(B577="","",VLOOKUP(B577,Magazzino!$B$4:$D$987,2))</f>
        <v>42</v>
      </c>
      <c r="E577" s="64" t="s">
        <v>111</v>
      </c>
      <c r="F577" s="55">
        <v>46221.0</v>
      </c>
    </row>
    <row r="578" ht="19.5" customHeight="1">
      <c r="A578" s="61"/>
      <c r="B578" s="62" t="s">
        <v>118</v>
      </c>
      <c r="C578" s="63">
        <v>1.0</v>
      </c>
      <c r="D578" s="49">
        <f>IF(B578="","",VLOOKUP(B578,Magazzino!$B$4:$D$987,2))</f>
        <v>-2</v>
      </c>
      <c r="E578" s="64" t="s">
        <v>129</v>
      </c>
      <c r="F578" s="55">
        <v>46219.0</v>
      </c>
    </row>
    <row r="579" ht="19.5" customHeight="1">
      <c r="A579" s="61"/>
      <c r="B579" s="62" t="s">
        <v>73</v>
      </c>
      <c r="C579" s="63">
        <v>1.0</v>
      </c>
      <c r="D579" s="49">
        <f>IF(B579="","",VLOOKUP(B579,Magazzino!$B$4:$D$987,2))</f>
        <v>9</v>
      </c>
      <c r="E579" s="64" t="s">
        <v>129</v>
      </c>
      <c r="F579" s="55">
        <v>46219.0</v>
      </c>
    </row>
    <row r="580" ht="19.5" customHeight="1">
      <c r="A580" s="61"/>
      <c r="B580" s="62" t="s">
        <v>28</v>
      </c>
      <c r="C580" s="63">
        <v>1.0</v>
      </c>
      <c r="D580" s="49">
        <f>IF(B580="","",VLOOKUP(B580,Magazzino!$B$4:$D$987,2))</f>
        <v>40</v>
      </c>
      <c r="E580" s="64" t="s">
        <v>129</v>
      </c>
      <c r="F580" s="55">
        <v>46219.0</v>
      </c>
    </row>
    <row r="581" ht="19.5" customHeight="1">
      <c r="A581" s="61"/>
      <c r="B581" s="62" t="s">
        <v>41</v>
      </c>
      <c r="C581" s="63">
        <v>1.0</v>
      </c>
      <c r="D581" s="49">
        <f>IF(B581="","",VLOOKUP(B581,Magazzino!$B$4:$D$987,2))</f>
        <v>5</v>
      </c>
      <c r="E581" s="64" t="s">
        <v>129</v>
      </c>
      <c r="F581" s="55">
        <v>46219.0</v>
      </c>
    </row>
    <row r="582" ht="19.5" customHeight="1">
      <c r="A582" s="61"/>
      <c r="B582" s="62" t="s">
        <v>45</v>
      </c>
      <c r="C582" s="63">
        <v>2.0</v>
      </c>
      <c r="D582" s="49">
        <f>IF(B582="","",VLOOKUP(B582,Magazzino!$B$4:$D$987,2))</f>
        <v>102</v>
      </c>
      <c r="E582" s="64" t="s">
        <v>129</v>
      </c>
      <c r="F582" s="55">
        <v>46218.0</v>
      </c>
    </row>
    <row r="583" ht="19.5" customHeight="1">
      <c r="A583" s="61"/>
      <c r="B583" s="62" t="s">
        <v>227</v>
      </c>
      <c r="C583" s="63">
        <v>1.0</v>
      </c>
      <c r="D583" s="49">
        <f>IF(B583="","",VLOOKUP(B583,Magazzino!$B$4:$D$987,2))</f>
        <v>4</v>
      </c>
      <c r="E583" s="64" t="s">
        <v>129</v>
      </c>
      <c r="F583" s="55">
        <v>46218.0</v>
      </c>
    </row>
    <row r="584" ht="19.5" customHeight="1">
      <c r="A584" s="61"/>
      <c r="B584" s="62" t="s">
        <v>32</v>
      </c>
      <c r="C584" s="63">
        <v>1.0</v>
      </c>
      <c r="D584" s="49">
        <f>IF(B584="","",VLOOKUP(B584,Magazzino!$B$4:$D$987,2))</f>
        <v>-2</v>
      </c>
      <c r="E584" s="64" t="s">
        <v>290</v>
      </c>
      <c r="F584" s="55">
        <v>46218.0</v>
      </c>
    </row>
    <row r="585" ht="19.5" customHeight="1">
      <c r="A585" s="61"/>
      <c r="B585" s="62" t="s">
        <v>180</v>
      </c>
      <c r="C585" s="63">
        <v>3.0</v>
      </c>
      <c r="D585" s="49">
        <f>IF(B585="","",VLOOKUP(B585,Magazzino!$B$4:$D$987,2))</f>
        <v>8</v>
      </c>
      <c r="E585" s="64" t="s">
        <v>290</v>
      </c>
      <c r="F585" s="55">
        <v>46218.0</v>
      </c>
    </row>
    <row r="586" ht="19.5" customHeight="1">
      <c r="A586" s="61"/>
      <c r="B586" s="62" t="s">
        <v>196</v>
      </c>
      <c r="C586" s="63">
        <v>1.0</v>
      </c>
      <c r="D586" s="49">
        <f>IF(B586="","",VLOOKUP(B586,Magazzino!$B$4:$D$987,2))</f>
        <v>-2</v>
      </c>
      <c r="E586" s="64" t="s">
        <v>290</v>
      </c>
      <c r="F586" s="55">
        <v>46218.0</v>
      </c>
    </row>
    <row r="587" ht="19.5" customHeight="1">
      <c r="A587" s="61"/>
      <c r="B587" s="62" t="s">
        <v>119</v>
      </c>
      <c r="C587" s="63">
        <v>4.0</v>
      </c>
      <c r="D587" s="49">
        <f>IF(B587="","",VLOOKUP(B587,Magazzino!$B$4:$D$987,2))</f>
        <v>0</v>
      </c>
      <c r="E587" s="64" t="s">
        <v>64</v>
      </c>
      <c r="F587" s="55">
        <v>46218.0</v>
      </c>
    </row>
    <row r="588" ht="19.5" customHeight="1">
      <c r="A588" s="61"/>
      <c r="B588" s="62" t="s">
        <v>80</v>
      </c>
      <c r="C588" s="63">
        <v>3.0</v>
      </c>
      <c r="D588" s="49">
        <f>IF(B588="","",VLOOKUP(B588,Magazzino!$B$4:$D$987,2))</f>
        <v>9</v>
      </c>
      <c r="E588" s="64" t="s">
        <v>64</v>
      </c>
      <c r="F588" s="55">
        <v>46218.0</v>
      </c>
    </row>
    <row r="589" ht="19.5" customHeight="1">
      <c r="A589" s="61"/>
      <c r="B589" s="62" t="s">
        <v>47</v>
      </c>
      <c r="C589" s="63">
        <v>3.0</v>
      </c>
      <c r="D589" s="49">
        <f>IF(B589="","",VLOOKUP(B589,Magazzino!$B$4:$D$987,2))</f>
        <v>5</v>
      </c>
      <c r="E589" s="64" t="s">
        <v>64</v>
      </c>
      <c r="F589" s="55">
        <v>46218.0</v>
      </c>
    </row>
    <row r="590" ht="19.5" customHeight="1">
      <c r="A590" s="61"/>
      <c r="B590" s="62" t="s">
        <v>56</v>
      </c>
      <c r="C590" s="63">
        <v>3.0</v>
      </c>
      <c r="D590" s="49">
        <f>IF(B590="","",VLOOKUP(B590,Magazzino!$B$4:$D$987,2))</f>
        <v>-2</v>
      </c>
      <c r="E590" s="64" t="s">
        <v>64</v>
      </c>
      <c r="F590" s="55">
        <v>46218.0</v>
      </c>
    </row>
    <row r="591" ht="19.5" customHeight="1">
      <c r="A591" s="61"/>
      <c r="B591" s="62" t="s">
        <v>51</v>
      </c>
      <c r="C591" s="63">
        <v>3.0</v>
      </c>
      <c r="D591" s="49">
        <f>IF(B591="","",VLOOKUP(B591,Magazzino!$B$4:$D$987,2))</f>
        <v>-2</v>
      </c>
      <c r="E591" s="64" t="s">
        <v>64</v>
      </c>
      <c r="F591" s="55">
        <v>46218.0</v>
      </c>
    </row>
    <row r="592" ht="19.5" customHeight="1">
      <c r="A592" s="61"/>
      <c r="B592" s="62" t="s">
        <v>54</v>
      </c>
      <c r="C592" s="63">
        <v>3.0</v>
      </c>
      <c r="D592" s="49">
        <f>IF(B592="","",VLOOKUP(B592,Magazzino!$B$4:$D$987,2))</f>
        <v>-2</v>
      </c>
      <c r="E592" s="64" t="s">
        <v>64</v>
      </c>
      <c r="F592" s="55">
        <v>46218.0</v>
      </c>
    </row>
    <row r="593" ht="19.5" customHeight="1">
      <c r="A593" s="61"/>
      <c r="B593" s="62" t="s">
        <v>70</v>
      </c>
      <c r="C593" s="63">
        <v>1.0</v>
      </c>
      <c r="D593" s="49">
        <f>IF(B593="","",VLOOKUP(B593,Magazzino!$B$4:$D$987,2))</f>
        <v>5</v>
      </c>
      <c r="E593" s="64" t="s">
        <v>233</v>
      </c>
      <c r="F593" s="55">
        <v>46217.0</v>
      </c>
    </row>
    <row r="594" ht="19.5" customHeight="1">
      <c r="A594" s="61"/>
      <c r="B594" s="62" t="s">
        <v>28</v>
      </c>
      <c r="C594" s="63">
        <v>1.0</v>
      </c>
      <c r="D594" s="49">
        <f>IF(B594="","",VLOOKUP(B594,Magazzino!$B$4:$D$987,2))</f>
        <v>40</v>
      </c>
      <c r="E594" s="64" t="s">
        <v>291</v>
      </c>
      <c r="F594" s="55">
        <v>46219.0</v>
      </c>
    </row>
    <row r="595" ht="19.5" customHeight="1">
      <c r="A595" s="61"/>
      <c r="B595" s="62" t="s">
        <v>153</v>
      </c>
      <c r="C595" s="63">
        <v>1.0</v>
      </c>
      <c r="D595" s="49">
        <f>IF(B595="","",VLOOKUP(B595,Magazzino!$B$4:$D$987,2))</f>
        <v>8</v>
      </c>
      <c r="E595" s="64" t="s">
        <v>291</v>
      </c>
      <c r="F595" s="55">
        <v>46219.0</v>
      </c>
    </row>
    <row r="596" ht="19.5" customHeight="1">
      <c r="A596" s="61"/>
      <c r="B596" s="62" t="s">
        <v>22</v>
      </c>
      <c r="C596" s="63">
        <v>1.0</v>
      </c>
      <c r="D596" s="49">
        <f>IF(B596="","",VLOOKUP(B596,Magazzino!$B$4:$D$987,2))</f>
        <v>5</v>
      </c>
      <c r="E596" s="64" t="s">
        <v>291</v>
      </c>
      <c r="F596" s="55">
        <v>46219.0</v>
      </c>
    </row>
    <row r="597" ht="19.5" customHeight="1">
      <c r="A597" s="61"/>
      <c r="B597" s="62" t="s">
        <v>16</v>
      </c>
      <c r="C597" s="63">
        <v>2.0</v>
      </c>
      <c r="D597" s="49">
        <f>IF(B597="","",VLOOKUP(B597,Magazzino!$B$4:$D$987,2))</f>
        <v>10</v>
      </c>
      <c r="E597" s="64" t="s">
        <v>64</v>
      </c>
      <c r="F597" s="55">
        <v>46224.0</v>
      </c>
    </row>
    <row r="598" ht="19.5" customHeight="1">
      <c r="A598" s="61"/>
      <c r="B598" s="62" t="s">
        <v>56</v>
      </c>
      <c r="C598" s="63">
        <v>2.0</v>
      </c>
      <c r="D598" s="49">
        <f>IF(B598="","",VLOOKUP(B598,Magazzino!$B$4:$D$987,2))</f>
        <v>-2</v>
      </c>
      <c r="E598" s="64" t="s">
        <v>64</v>
      </c>
      <c r="F598" s="55">
        <v>46224.0</v>
      </c>
    </row>
    <row r="599" ht="19.5" customHeight="1">
      <c r="A599" s="61"/>
      <c r="B599" s="62" t="s">
        <v>54</v>
      </c>
      <c r="C599" s="63">
        <v>2.0</v>
      </c>
      <c r="D599" s="49">
        <f>IF(B599="","",VLOOKUP(B599,Magazzino!$B$4:$D$987,2))</f>
        <v>-2</v>
      </c>
      <c r="E599" s="64" t="s">
        <v>64</v>
      </c>
      <c r="F599" s="55">
        <v>46224.0</v>
      </c>
    </row>
    <row r="600" ht="19.5" customHeight="1">
      <c r="A600" s="61"/>
      <c r="B600" s="62" t="s">
        <v>51</v>
      </c>
      <c r="C600" s="63">
        <v>2.0</v>
      </c>
      <c r="D600" s="49">
        <f>IF(B600="","",VLOOKUP(B600,Magazzino!$B$4:$D$987,2))</f>
        <v>-2</v>
      </c>
      <c r="E600" s="64" t="s">
        <v>64</v>
      </c>
      <c r="F600" s="55">
        <v>46224.0</v>
      </c>
    </row>
    <row r="601" ht="19.5" customHeight="1">
      <c r="A601" s="61"/>
      <c r="B601" s="62" t="s">
        <v>99</v>
      </c>
      <c r="C601" s="63">
        <v>1.0</v>
      </c>
      <c r="D601" s="49">
        <f>IF(B601="","",VLOOKUP(B601,Magazzino!$B$4:$D$987,2))</f>
        <v>-2</v>
      </c>
      <c r="E601" s="64" t="s">
        <v>64</v>
      </c>
      <c r="F601" s="55">
        <v>46224.0</v>
      </c>
    </row>
    <row r="602" ht="19.5" customHeight="1">
      <c r="A602" s="61"/>
      <c r="B602" s="62" t="s">
        <v>134</v>
      </c>
      <c r="C602" s="63">
        <v>1.0</v>
      </c>
      <c r="D602" s="49">
        <f>IF(B602="","",VLOOKUP(B602,Magazzino!$B$4:$D$987,2))</f>
        <v>30</v>
      </c>
      <c r="E602" s="64" t="s">
        <v>129</v>
      </c>
      <c r="F602" s="55">
        <v>46225.0</v>
      </c>
    </row>
    <row r="603" ht="19.5" customHeight="1">
      <c r="A603" s="61"/>
      <c r="B603" s="62" t="s">
        <v>227</v>
      </c>
      <c r="C603" s="63">
        <v>1.0</v>
      </c>
      <c r="D603" s="49">
        <f>IF(B603="","",VLOOKUP(B603,Magazzino!$B$4:$D$987,2))</f>
        <v>4</v>
      </c>
      <c r="E603" s="64" t="s">
        <v>129</v>
      </c>
      <c r="F603" s="55">
        <v>46225.0</v>
      </c>
    </row>
    <row r="604" ht="19.5" customHeight="1">
      <c r="A604" s="61"/>
      <c r="B604" s="62" t="s">
        <v>45</v>
      </c>
      <c r="C604" s="63">
        <v>2.0</v>
      </c>
      <c r="D604" s="49">
        <f>IF(B604="","",VLOOKUP(B604,Magazzino!$B$4:$D$987,2))</f>
        <v>102</v>
      </c>
      <c r="E604" s="64" t="s">
        <v>129</v>
      </c>
      <c r="F604" s="55">
        <v>46225.0</v>
      </c>
    </row>
    <row r="605" ht="19.5" customHeight="1">
      <c r="A605" s="61"/>
      <c r="B605" s="62" t="s">
        <v>186</v>
      </c>
      <c r="C605" s="63">
        <v>1.0</v>
      </c>
      <c r="D605" s="49">
        <f>IF(B605="","",VLOOKUP(B605,Magazzino!$B$4:$D$987,2))</f>
        <v>40</v>
      </c>
      <c r="E605" s="64" t="s">
        <v>64</v>
      </c>
      <c r="F605" s="55">
        <v>46225.0</v>
      </c>
    </row>
    <row r="606" ht="19.5" customHeight="1">
      <c r="A606" s="61"/>
      <c r="B606" s="62" t="s">
        <v>80</v>
      </c>
      <c r="C606" s="63">
        <v>1.0</v>
      </c>
      <c r="D606" s="49">
        <f>IF(B606="","",VLOOKUP(B606,Magazzino!$B$4:$D$987,2))</f>
        <v>9</v>
      </c>
      <c r="E606" s="64" t="s">
        <v>129</v>
      </c>
      <c r="F606" s="55">
        <v>46225.0</v>
      </c>
    </row>
    <row r="607" ht="19.5" customHeight="1">
      <c r="A607" s="61"/>
      <c r="B607" s="62" t="s">
        <v>141</v>
      </c>
      <c r="C607" s="63">
        <v>1.0</v>
      </c>
      <c r="D607" s="49">
        <f>IF(B607="","",VLOOKUP(B607,Magazzino!$B$4:$D$987,2))</f>
        <v>18</v>
      </c>
      <c r="E607" s="64" t="s">
        <v>129</v>
      </c>
      <c r="F607" s="55">
        <v>46225.0</v>
      </c>
    </row>
    <row r="608" ht="19.5" customHeight="1">
      <c r="A608" s="61"/>
      <c r="B608" s="62" t="s">
        <v>119</v>
      </c>
      <c r="C608" s="63">
        <v>1.0</v>
      </c>
      <c r="D608" s="49">
        <f>IF(B608="","",VLOOKUP(B608,Magazzino!$B$4:$D$987,2))</f>
        <v>0</v>
      </c>
      <c r="E608" s="64" t="s">
        <v>129</v>
      </c>
      <c r="F608" s="55">
        <v>46225.0</v>
      </c>
    </row>
    <row r="609" ht="19.5" customHeight="1">
      <c r="A609" s="61"/>
      <c r="B609" s="62" t="s">
        <v>22</v>
      </c>
      <c r="C609" s="63">
        <v>2.0</v>
      </c>
      <c r="D609" s="49">
        <f>IF(B609="","",VLOOKUP(B609,Magazzino!$B$4:$D$987,2))</f>
        <v>5</v>
      </c>
      <c r="E609" s="64" t="s">
        <v>129</v>
      </c>
      <c r="F609" s="55">
        <v>46225.0</v>
      </c>
    </row>
    <row r="610" ht="19.5" customHeight="1">
      <c r="A610" s="61"/>
      <c r="B610" s="62" t="s">
        <v>19</v>
      </c>
      <c r="C610" s="63">
        <v>1.0</v>
      </c>
      <c r="D610" s="49">
        <f>IF(B610="","",VLOOKUP(B610,Magazzino!$B$4:$D$987,2))</f>
        <v>3</v>
      </c>
      <c r="E610" s="64" t="s">
        <v>129</v>
      </c>
      <c r="F610" s="55">
        <v>46225.0</v>
      </c>
    </row>
    <row r="611" ht="19.5" customHeight="1">
      <c r="A611" s="61"/>
      <c r="B611" s="62" t="s">
        <v>252</v>
      </c>
      <c r="C611" s="63">
        <v>1.0</v>
      </c>
      <c r="D611" s="49">
        <f>IF(B611="","",VLOOKUP(B611,Magazzino!$B$4:$D$987,2))</f>
        <v>3</v>
      </c>
      <c r="E611" s="64" t="s">
        <v>129</v>
      </c>
      <c r="F611" s="55">
        <v>46225.0</v>
      </c>
    </row>
    <row r="612" ht="19.5" customHeight="1">
      <c r="A612" s="61"/>
      <c r="B612" s="62" t="s">
        <v>68</v>
      </c>
      <c r="C612" s="63">
        <v>4.0</v>
      </c>
      <c r="D612" s="49">
        <f>IF(B612="","",VLOOKUP(B612,Magazzino!$B$4:$D$987,2))</f>
        <v>192</v>
      </c>
      <c r="E612" s="64" t="s">
        <v>233</v>
      </c>
      <c r="F612" s="55">
        <v>46225.0</v>
      </c>
    </row>
    <row r="613" ht="19.5" customHeight="1">
      <c r="A613" s="61"/>
      <c r="B613" s="62" t="s">
        <v>120</v>
      </c>
      <c r="C613" s="63">
        <v>5.0</v>
      </c>
      <c r="D613" s="49">
        <f>IF(B613="","",VLOOKUP(B613,Magazzino!$B$4:$D$987,2))</f>
        <v>24</v>
      </c>
      <c r="E613" s="64" t="s">
        <v>64</v>
      </c>
      <c r="F613" s="55">
        <v>46226.0</v>
      </c>
    </row>
    <row r="614" ht="19.5" customHeight="1">
      <c r="A614" s="61"/>
      <c r="B614" s="62" t="s">
        <v>21</v>
      </c>
      <c r="C614" s="63">
        <v>5.0</v>
      </c>
      <c r="D614" s="49">
        <f>IF(B614="","",VLOOKUP(B614,Magazzino!$B$4:$D$987,2))</f>
        <v>75</v>
      </c>
      <c r="E614" s="64" t="s">
        <v>64</v>
      </c>
      <c r="F614" s="55">
        <v>46226.0</v>
      </c>
    </row>
    <row r="615" ht="19.5" customHeight="1">
      <c r="A615" s="61"/>
      <c r="B615" s="62" t="s">
        <v>237</v>
      </c>
      <c r="C615" s="63">
        <v>3.0</v>
      </c>
      <c r="D615" s="49">
        <f>IF(B615="","",VLOOKUP(B615,Magazzino!$B$4:$D$987,2))</f>
        <v>-8</v>
      </c>
      <c r="E615" s="64" t="s">
        <v>64</v>
      </c>
      <c r="F615" s="55">
        <v>46226.0</v>
      </c>
    </row>
    <row r="616" ht="19.5" customHeight="1">
      <c r="A616" s="61"/>
      <c r="B616" s="62" t="s">
        <v>37</v>
      </c>
      <c r="C616" s="63">
        <v>3.0</v>
      </c>
      <c r="D616" s="49">
        <f>IF(B616="","",VLOOKUP(B616,Magazzino!$B$4:$D$987,2))</f>
        <v>18</v>
      </c>
      <c r="E616" s="64" t="s">
        <v>64</v>
      </c>
      <c r="F616" s="55">
        <v>46226.0</v>
      </c>
    </row>
    <row r="617" ht="19.5" customHeight="1">
      <c r="A617" s="61"/>
      <c r="B617" s="62" t="s">
        <v>77</v>
      </c>
      <c r="C617" s="63">
        <v>1.0</v>
      </c>
      <c r="D617" s="49">
        <f>IF(B617="","",VLOOKUP(B617,Magazzino!$B$4:$D$987,2))</f>
        <v>42</v>
      </c>
      <c r="E617" s="64" t="s">
        <v>250</v>
      </c>
      <c r="F617" s="55">
        <v>46227.0</v>
      </c>
    </row>
    <row r="618" ht="19.5" customHeight="1">
      <c r="A618" s="61"/>
      <c r="B618" s="62" t="s">
        <v>152</v>
      </c>
      <c r="C618" s="63">
        <v>2.0</v>
      </c>
      <c r="D618" s="49">
        <f>IF(B618="","",VLOOKUP(B618,Magazzino!$B$4:$D$987,2))</f>
        <v>72</v>
      </c>
      <c r="E618" s="64" t="s">
        <v>250</v>
      </c>
      <c r="F618" s="55">
        <v>46227.0</v>
      </c>
    </row>
    <row r="619" ht="19.5" customHeight="1">
      <c r="A619" s="61"/>
      <c r="B619" s="62" t="s">
        <v>174</v>
      </c>
      <c r="C619" s="63">
        <v>2.0</v>
      </c>
      <c r="D619" s="49">
        <f>IF(B619="","",VLOOKUP(B619,Magazzino!$B$4:$D$987,2))</f>
        <v>0</v>
      </c>
      <c r="E619" s="64" t="s">
        <v>64</v>
      </c>
      <c r="F619" s="55">
        <v>46228.0</v>
      </c>
    </row>
    <row r="620" ht="19.5" customHeight="1">
      <c r="A620" s="61"/>
      <c r="B620" s="62" t="s">
        <v>119</v>
      </c>
      <c r="C620" s="63">
        <v>2.0</v>
      </c>
      <c r="D620" s="49">
        <f>IF(B620="","",VLOOKUP(B620,Magazzino!$B$4:$D$987,2))</f>
        <v>0</v>
      </c>
      <c r="E620" s="64" t="s">
        <v>64</v>
      </c>
      <c r="F620" s="55">
        <v>46228.0</v>
      </c>
    </row>
    <row r="621" ht="19.5" customHeight="1">
      <c r="A621" s="61"/>
      <c r="B621" s="62" t="s">
        <v>47</v>
      </c>
      <c r="C621" s="63">
        <v>2.0</v>
      </c>
      <c r="D621" s="49">
        <f>IF(B621="","",VLOOKUP(B621,Magazzino!$B$4:$D$987,2))</f>
        <v>5</v>
      </c>
      <c r="E621" s="64" t="s">
        <v>64</v>
      </c>
      <c r="F621" s="55">
        <v>46228.0</v>
      </c>
    </row>
    <row r="622" ht="19.5" customHeight="1">
      <c r="A622" s="61"/>
      <c r="B622" s="62" t="s">
        <v>77</v>
      </c>
      <c r="C622" s="63">
        <v>2.0</v>
      </c>
      <c r="D622" s="49">
        <f>IF(B622="","",VLOOKUP(B622,Magazzino!$B$4:$D$987,2))</f>
        <v>42</v>
      </c>
      <c r="E622" s="64" t="s">
        <v>64</v>
      </c>
      <c r="F622" s="55">
        <v>46228.0</v>
      </c>
    </row>
    <row r="623" ht="19.5" customHeight="1">
      <c r="A623" s="61"/>
      <c r="B623" s="62" t="s">
        <v>122</v>
      </c>
      <c r="C623" s="63">
        <v>1.0</v>
      </c>
      <c r="D623" s="49">
        <f>IF(B623="","",VLOOKUP(B623,Magazzino!$B$4:$D$987,2))</f>
        <v>-8</v>
      </c>
      <c r="E623" s="64" t="s">
        <v>64</v>
      </c>
      <c r="F623" s="55">
        <v>46228.0</v>
      </c>
    </row>
    <row r="624" ht="19.5" customHeight="1">
      <c r="A624" s="61"/>
      <c r="B624" s="62" t="s">
        <v>19</v>
      </c>
      <c r="C624" s="63">
        <v>1.0</v>
      </c>
      <c r="D624" s="49">
        <f>IF(B624="","",VLOOKUP(B624,Magazzino!$B$4:$D$987,2))</f>
        <v>3</v>
      </c>
      <c r="E624" s="64" t="s">
        <v>129</v>
      </c>
      <c r="F624" s="55">
        <v>46228.0</v>
      </c>
    </row>
    <row r="625" ht="19.5" customHeight="1">
      <c r="A625" s="61"/>
      <c r="B625" s="62" t="s">
        <v>186</v>
      </c>
      <c r="C625" s="63">
        <v>1.0</v>
      </c>
      <c r="D625" s="49">
        <f>IF(B625="","",VLOOKUP(B625,Magazzino!$B$4:$D$987,2))</f>
        <v>40</v>
      </c>
      <c r="E625" s="64" t="s">
        <v>129</v>
      </c>
      <c r="F625" s="55">
        <v>46228.0</v>
      </c>
    </row>
    <row r="626" ht="19.5" customHeight="1">
      <c r="A626" s="61"/>
      <c r="B626" s="62" t="s">
        <v>60</v>
      </c>
      <c r="C626" s="63">
        <v>1.0</v>
      </c>
      <c r="D626" s="49">
        <f>IF(B626="","",VLOOKUP(B626,Magazzino!$B$4:$D$987,2))</f>
        <v>6</v>
      </c>
      <c r="E626" s="64" t="s">
        <v>291</v>
      </c>
      <c r="F626" s="55">
        <v>46230.0</v>
      </c>
    </row>
    <row r="627" ht="19.5" customHeight="1">
      <c r="A627" s="61"/>
      <c r="B627" s="62" t="s">
        <v>186</v>
      </c>
      <c r="C627" s="63">
        <v>1.0</v>
      </c>
      <c r="D627" s="49">
        <f>IF(B627="","",VLOOKUP(B627,Magazzino!$B$4:$D$987,2))</f>
        <v>40</v>
      </c>
      <c r="E627" s="64" t="s">
        <v>185</v>
      </c>
      <c r="F627" s="55">
        <v>46231.0</v>
      </c>
    </row>
    <row r="628" ht="19.5" customHeight="1">
      <c r="A628" s="61"/>
      <c r="B628" s="62" t="s">
        <v>252</v>
      </c>
      <c r="C628" s="63">
        <v>1.0</v>
      </c>
      <c r="D628" s="49">
        <f>IF(B628="","",VLOOKUP(B628,Magazzino!$B$4:$D$987,2))</f>
        <v>3</v>
      </c>
      <c r="E628" s="64" t="s">
        <v>185</v>
      </c>
      <c r="F628" s="55">
        <v>46231.0</v>
      </c>
    </row>
    <row r="629" ht="19.5" customHeight="1">
      <c r="A629" s="61"/>
      <c r="B629" s="62" t="s">
        <v>68</v>
      </c>
      <c r="C629" s="63">
        <v>12.0</v>
      </c>
      <c r="D629" s="49">
        <f>IF(B629="","",VLOOKUP(B629,Magazzino!$B$4:$D$987,2))</f>
        <v>192</v>
      </c>
      <c r="E629" s="64" t="s">
        <v>185</v>
      </c>
      <c r="F629" s="55">
        <v>46231.0</v>
      </c>
    </row>
    <row r="630" ht="19.5" customHeight="1">
      <c r="A630" s="61"/>
      <c r="B630" s="62" t="s">
        <v>135</v>
      </c>
      <c r="C630" s="63">
        <v>2.0</v>
      </c>
      <c r="D630" s="49">
        <f>IF(B630="","",VLOOKUP(B630,Magazzino!$B$4:$D$987,2))</f>
        <v>12</v>
      </c>
      <c r="E630" s="64" t="s">
        <v>185</v>
      </c>
      <c r="F630" s="55">
        <v>46231.0</v>
      </c>
    </row>
    <row r="631" ht="19.5" customHeight="1">
      <c r="A631" s="61"/>
      <c r="B631" s="62" t="s">
        <v>149</v>
      </c>
      <c r="C631" s="63">
        <v>4.0</v>
      </c>
      <c r="D631" s="49">
        <f>IF(B631="","",VLOOKUP(B631,Magazzino!$B$4:$D$987,2))</f>
        <v>11</v>
      </c>
      <c r="E631" s="64" t="s">
        <v>111</v>
      </c>
      <c r="F631" s="55">
        <v>46232.0</v>
      </c>
    </row>
    <row r="632" ht="19.5" customHeight="1">
      <c r="A632" s="61"/>
      <c r="B632" s="62" t="s">
        <v>28</v>
      </c>
      <c r="C632" s="63">
        <v>2.0</v>
      </c>
      <c r="D632" s="49">
        <f>IF(B632="","",VLOOKUP(B632,Magazzino!$B$4:$D$987,2))</f>
        <v>40</v>
      </c>
      <c r="E632" s="64" t="s">
        <v>233</v>
      </c>
      <c r="F632" s="55">
        <v>46232.0</v>
      </c>
    </row>
    <row r="633" ht="19.5" customHeight="1">
      <c r="A633" s="61"/>
      <c r="B633" s="62" t="s">
        <v>222</v>
      </c>
      <c r="C633" s="63">
        <v>1.0</v>
      </c>
      <c r="D633" s="49">
        <f>IF(B633="","",VLOOKUP(B633,Magazzino!$B$4:$D$987,2))</f>
        <v>1</v>
      </c>
      <c r="E633" s="64" t="s">
        <v>233</v>
      </c>
      <c r="F633" s="55">
        <v>46232.0</v>
      </c>
    </row>
    <row r="634" ht="19.5" customHeight="1">
      <c r="A634" s="61"/>
      <c r="B634" s="62" t="s">
        <v>21</v>
      </c>
      <c r="C634" s="63">
        <v>2.0</v>
      </c>
      <c r="D634" s="49">
        <f>IF(B634="","",VLOOKUP(B634,Magazzino!$B$4:$D$987,2))</f>
        <v>75</v>
      </c>
      <c r="E634" s="64" t="s">
        <v>233</v>
      </c>
      <c r="F634" s="55">
        <v>46232.0</v>
      </c>
    </row>
    <row r="635" ht="19.5" customHeight="1">
      <c r="A635" s="61"/>
      <c r="B635" s="62" t="s">
        <v>19</v>
      </c>
      <c r="C635" s="63">
        <v>1.0</v>
      </c>
      <c r="D635" s="49">
        <f>IF(B635="","",VLOOKUP(B635,Magazzino!$B$4:$D$987,2))</f>
        <v>3</v>
      </c>
      <c r="E635" s="64" t="s">
        <v>185</v>
      </c>
      <c r="F635" s="55">
        <v>46234.0</v>
      </c>
    </row>
    <row r="636" ht="19.5" customHeight="1">
      <c r="A636" s="61"/>
      <c r="B636" s="62" t="s">
        <v>186</v>
      </c>
      <c r="C636" s="63">
        <v>2.0</v>
      </c>
      <c r="D636" s="49">
        <f>IF(B636="","",VLOOKUP(B636,Magazzino!$B$4:$D$987,2))</f>
        <v>40</v>
      </c>
      <c r="E636" s="64" t="s">
        <v>185</v>
      </c>
      <c r="F636" s="55">
        <v>46234.0</v>
      </c>
    </row>
    <row r="637" ht="19.5" customHeight="1">
      <c r="A637" s="61"/>
      <c r="B637" s="62" t="s">
        <v>40</v>
      </c>
      <c r="C637" s="63">
        <v>1.0</v>
      </c>
      <c r="D637" s="49">
        <f>IF(B637="","",VLOOKUP(B637,Magazzino!$B$4:$D$987,2))</f>
        <v>17</v>
      </c>
      <c r="E637" s="64" t="s">
        <v>185</v>
      </c>
      <c r="F637" s="55">
        <v>46234.0</v>
      </c>
    </row>
    <row r="638" ht="19.5" customHeight="1">
      <c r="A638" s="61"/>
      <c r="B638" s="62" t="s">
        <v>120</v>
      </c>
      <c r="C638" s="63">
        <v>3.0</v>
      </c>
      <c r="D638" s="49">
        <f>IF(B638="","",VLOOKUP(B638,Magazzino!$B$4:$D$987,2))</f>
        <v>24</v>
      </c>
      <c r="E638" s="64" t="s">
        <v>233</v>
      </c>
      <c r="F638" s="55">
        <v>46235.0</v>
      </c>
    </row>
    <row r="639" ht="19.5" customHeight="1">
      <c r="A639" s="61"/>
      <c r="B639" s="62" t="s">
        <v>118</v>
      </c>
      <c r="C639" s="63">
        <v>1.0</v>
      </c>
      <c r="D639" s="49">
        <f>IF(B639="","",VLOOKUP(B639,Magazzino!$B$4:$D$987,2))</f>
        <v>-2</v>
      </c>
      <c r="E639" s="64" t="s">
        <v>233</v>
      </c>
      <c r="F639" s="55">
        <v>46237.0</v>
      </c>
    </row>
    <row r="640" ht="19.5" customHeight="1">
      <c r="A640" s="61"/>
      <c r="B640" s="62" t="s">
        <v>72</v>
      </c>
      <c r="C640" s="63">
        <v>1.0</v>
      </c>
      <c r="D640" s="49">
        <f>IF(B640="","",VLOOKUP(B640,Magazzino!$B$4:$D$987,2))</f>
        <v>0</v>
      </c>
      <c r="E640" s="64" t="s">
        <v>233</v>
      </c>
      <c r="F640" s="55">
        <v>46237.0</v>
      </c>
    </row>
    <row r="641" ht="19.5" customHeight="1">
      <c r="A641" s="61"/>
      <c r="B641" s="62" t="s">
        <v>124</v>
      </c>
      <c r="C641" s="63">
        <v>2.0</v>
      </c>
      <c r="D641" s="49">
        <f>IF(B641="","",VLOOKUP(B641,Magazzino!$B$4:$D$987,2))</f>
        <v>9</v>
      </c>
      <c r="E641" s="64" t="s">
        <v>233</v>
      </c>
      <c r="F641" s="55">
        <v>46237.0</v>
      </c>
    </row>
    <row r="642" ht="19.5" customHeight="1">
      <c r="A642" s="61"/>
      <c r="B642" s="62" t="s">
        <v>52</v>
      </c>
      <c r="C642" s="63">
        <v>1.0</v>
      </c>
      <c r="D642" s="49">
        <f>IF(B642="","",VLOOKUP(B642,Magazzino!$B$4:$D$987,2))</f>
        <v>18</v>
      </c>
      <c r="E642" s="64" t="s">
        <v>233</v>
      </c>
      <c r="F642" s="55">
        <v>46237.0</v>
      </c>
    </row>
    <row r="643" ht="19.5" customHeight="1">
      <c r="A643" s="61"/>
      <c r="B643" s="62" t="s">
        <v>33</v>
      </c>
      <c r="C643" s="63">
        <v>1.0</v>
      </c>
      <c r="D643" s="49">
        <f>IF(B643="","",VLOOKUP(B643,Magazzino!$B$4:$D$987,2))</f>
        <v>1</v>
      </c>
      <c r="E643" s="64" t="s">
        <v>233</v>
      </c>
      <c r="F643" s="55">
        <v>46237.0</v>
      </c>
    </row>
    <row r="644" ht="19.5" customHeight="1">
      <c r="A644" s="61"/>
      <c r="B644" s="62" t="s">
        <v>15</v>
      </c>
      <c r="C644" s="63">
        <v>2.0</v>
      </c>
      <c r="D644" s="49">
        <f>IF(B644="","",VLOOKUP(B644,Magazzino!$B$4:$D$987,2))</f>
        <v>-2</v>
      </c>
      <c r="E644" s="64" t="s">
        <v>233</v>
      </c>
      <c r="F644" s="55">
        <v>46237.0</v>
      </c>
    </row>
    <row r="645" ht="19.5" customHeight="1">
      <c r="A645" s="61"/>
      <c r="B645" s="62" t="s">
        <v>80</v>
      </c>
      <c r="C645" s="63">
        <v>1.0</v>
      </c>
      <c r="D645" s="49">
        <f>IF(B645="","",VLOOKUP(B645,Magazzino!$B$4:$D$987,2))</f>
        <v>9</v>
      </c>
      <c r="E645" s="64" t="s">
        <v>233</v>
      </c>
      <c r="F645" s="55">
        <v>46237.0</v>
      </c>
    </row>
    <row r="646" ht="19.5" customHeight="1">
      <c r="A646" s="61"/>
      <c r="B646" s="62" t="s">
        <v>178</v>
      </c>
      <c r="C646" s="63">
        <v>1.0</v>
      </c>
      <c r="D646" s="49">
        <f>IF(B646="","",VLOOKUP(B646,Magazzino!$B$4:$D$987,2))</f>
        <v>-3</v>
      </c>
      <c r="E646" s="64" t="s">
        <v>233</v>
      </c>
      <c r="F646" s="55">
        <v>46237.0</v>
      </c>
    </row>
    <row r="647" ht="19.5" customHeight="1">
      <c r="A647" s="61"/>
      <c r="B647" s="62" t="s">
        <v>32</v>
      </c>
      <c r="C647" s="63">
        <v>1.0</v>
      </c>
      <c r="D647" s="49">
        <f>IF(B647="","",VLOOKUP(B647,Magazzino!$B$4:$D$987,2))</f>
        <v>-2</v>
      </c>
      <c r="E647" s="64" t="s">
        <v>233</v>
      </c>
      <c r="F647" s="55">
        <v>46237.0</v>
      </c>
    </row>
    <row r="648" ht="19.5" customHeight="1">
      <c r="A648" s="61"/>
      <c r="B648" s="62" t="s">
        <v>21</v>
      </c>
      <c r="C648" s="63">
        <v>2.0</v>
      </c>
      <c r="D648" s="49">
        <f>IF(B648="","",VLOOKUP(B648,Magazzino!$B$4:$D$987,2))</f>
        <v>75</v>
      </c>
      <c r="E648" s="64" t="s">
        <v>233</v>
      </c>
      <c r="F648" s="55">
        <v>46237.0</v>
      </c>
    </row>
    <row r="649" ht="19.5" customHeight="1">
      <c r="A649" s="61"/>
      <c r="B649" s="62" t="s">
        <v>186</v>
      </c>
      <c r="C649" s="63">
        <v>2.0</v>
      </c>
      <c r="D649" s="49">
        <f>IF(B649="","",VLOOKUP(B649,Magazzino!$B$4:$D$987,2))</f>
        <v>40</v>
      </c>
      <c r="E649" s="64" t="s">
        <v>233</v>
      </c>
      <c r="F649" s="55">
        <v>46237.0</v>
      </c>
    </row>
    <row r="650" ht="19.5" customHeight="1">
      <c r="A650" s="61"/>
      <c r="B650" s="62" t="s">
        <v>77</v>
      </c>
      <c r="C650" s="63">
        <v>1.0</v>
      </c>
      <c r="D650" s="49">
        <f>IF(B650="","",VLOOKUP(B650,Magazzino!$B$4:$D$987,2))</f>
        <v>42</v>
      </c>
      <c r="E650" s="64" t="s">
        <v>292</v>
      </c>
      <c r="F650" s="55">
        <v>46237.0</v>
      </c>
    </row>
    <row r="651" ht="19.5" customHeight="1">
      <c r="A651" s="61"/>
      <c r="B651" s="62" t="s">
        <v>28</v>
      </c>
      <c r="C651" s="63">
        <v>1.0</v>
      </c>
      <c r="D651" s="49">
        <f>IF(B651="","",VLOOKUP(B651,Magazzino!$B$4:$D$987,2))</f>
        <v>40</v>
      </c>
      <c r="E651" s="64" t="s">
        <v>233</v>
      </c>
      <c r="F651" s="55">
        <v>46237.0</v>
      </c>
    </row>
    <row r="652" ht="19.5" customHeight="1">
      <c r="A652" s="61"/>
      <c r="B652" s="62" t="s">
        <v>119</v>
      </c>
      <c r="C652" s="63">
        <v>1.0</v>
      </c>
      <c r="D652" s="49">
        <f>IF(B652="","",VLOOKUP(B652,Magazzino!$B$4:$D$987,2))</f>
        <v>0</v>
      </c>
      <c r="E652" s="64" t="s">
        <v>233</v>
      </c>
      <c r="F652" s="55">
        <v>46237.0</v>
      </c>
    </row>
    <row r="653" ht="19.5" customHeight="1">
      <c r="A653" s="61"/>
      <c r="B653" s="62" t="s">
        <v>16</v>
      </c>
      <c r="C653" s="63">
        <v>2.0</v>
      </c>
      <c r="D653" s="49">
        <f>IF(B653="","",VLOOKUP(B653,Magazzino!$B$4:$D$987,2))</f>
        <v>10</v>
      </c>
      <c r="E653" s="64" t="s">
        <v>233</v>
      </c>
      <c r="F653" s="55">
        <v>46237.0</v>
      </c>
    </row>
    <row r="654" ht="19.5" customHeight="1">
      <c r="A654" s="61"/>
      <c r="B654" s="62" t="s">
        <v>195</v>
      </c>
      <c r="C654" s="63">
        <v>1.0</v>
      </c>
      <c r="D654" s="49">
        <f>IF(B654="","",VLOOKUP(B654,Magazzino!$B$4:$D$987,2))</f>
        <v>0</v>
      </c>
      <c r="E654" s="64" t="s">
        <v>233</v>
      </c>
      <c r="F654" s="55">
        <v>46237.0</v>
      </c>
    </row>
    <row r="655" ht="19.5" customHeight="1">
      <c r="A655" s="61"/>
      <c r="B655" s="62" t="s">
        <v>68</v>
      </c>
      <c r="C655" s="63">
        <v>6.0</v>
      </c>
      <c r="D655" s="49">
        <f>IF(B655="","",VLOOKUP(B655,Magazzino!$B$4:$D$987,2))</f>
        <v>192</v>
      </c>
      <c r="E655" s="64" t="s">
        <v>129</v>
      </c>
      <c r="F655" s="55">
        <v>46240.0</v>
      </c>
    </row>
    <row r="656" ht="19.5" customHeight="1">
      <c r="A656" s="61"/>
      <c r="B656" s="62" t="s">
        <v>149</v>
      </c>
      <c r="C656" s="63">
        <v>2.0</v>
      </c>
      <c r="D656" s="49">
        <f>IF(B656="","",VLOOKUP(B656,Magazzino!$B$4:$D$987,2))</f>
        <v>11</v>
      </c>
      <c r="E656" s="64" t="s">
        <v>111</v>
      </c>
      <c r="F656" s="55">
        <v>46241.0</v>
      </c>
    </row>
    <row r="657" ht="19.5" customHeight="1">
      <c r="A657" s="61"/>
      <c r="B657" s="62" t="s">
        <v>178</v>
      </c>
      <c r="C657" s="63">
        <v>1.0</v>
      </c>
      <c r="D657" s="49">
        <f>IF(B657="","",VLOOKUP(B657,Magazzino!$B$4:$D$987,2))</f>
        <v>-3</v>
      </c>
      <c r="E657" s="64" t="s">
        <v>293</v>
      </c>
      <c r="F657" s="55">
        <v>46241.0</v>
      </c>
    </row>
    <row r="658" ht="19.5" customHeight="1">
      <c r="A658" s="61"/>
      <c r="B658" s="62" t="s">
        <v>28</v>
      </c>
      <c r="C658" s="63">
        <v>1.0</v>
      </c>
      <c r="D658" s="49">
        <f>IF(B658="","",VLOOKUP(B658,Magazzino!$B$4:$D$987,2))</f>
        <v>40</v>
      </c>
      <c r="E658" s="64" t="s">
        <v>293</v>
      </c>
      <c r="F658" s="55">
        <v>46241.0</v>
      </c>
    </row>
    <row r="659" ht="19.5" customHeight="1">
      <c r="A659" s="61"/>
      <c r="B659" s="62" t="s">
        <v>77</v>
      </c>
      <c r="C659" s="63">
        <v>1.0</v>
      </c>
      <c r="D659" s="49">
        <f>IF(B659="","",VLOOKUP(B659,Magazzino!$B$4:$D$987,2))</f>
        <v>42</v>
      </c>
      <c r="E659" s="64" t="s">
        <v>293</v>
      </c>
      <c r="F659" s="55">
        <v>46241.0</v>
      </c>
    </row>
    <row r="660" ht="19.5" customHeight="1">
      <c r="A660" s="61"/>
      <c r="B660" s="62" t="s">
        <v>19</v>
      </c>
      <c r="C660" s="63">
        <v>1.0</v>
      </c>
      <c r="D660" s="49">
        <f>IF(B660="","",VLOOKUP(B660,Magazzino!$B$4:$D$987,2))</f>
        <v>3</v>
      </c>
      <c r="E660" s="64" t="s">
        <v>233</v>
      </c>
      <c r="F660" s="55">
        <v>46242.0</v>
      </c>
    </row>
    <row r="661" ht="19.5" customHeight="1">
      <c r="A661" s="61"/>
      <c r="B661" s="62" t="s">
        <v>21</v>
      </c>
      <c r="C661" s="63">
        <v>4.0</v>
      </c>
      <c r="D661" s="49">
        <f>IF(B661="","",VLOOKUP(B661,Magazzino!$B$4:$D$987,2))</f>
        <v>75</v>
      </c>
      <c r="E661" s="64" t="s">
        <v>64</v>
      </c>
      <c r="F661" s="55">
        <v>46244.0</v>
      </c>
    </row>
    <row r="662" ht="19.5" customHeight="1">
      <c r="A662" s="61"/>
      <c r="B662" s="62" t="s">
        <v>120</v>
      </c>
      <c r="C662" s="63">
        <v>4.0</v>
      </c>
      <c r="D662" s="49">
        <f>IF(B662="","",VLOOKUP(B662,Magazzino!$B$4:$D$987,2))</f>
        <v>24</v>
      </c>
      <c r="E662" s="64" t="s">
        <v>64</v>
      </c>
      <c r="F662" s="55">
        <v>46244.0</v>
      </c>
    </row>
    <row r="663" ht="19.5" customHeight="1">
      <c r="A663" s="61"/>
      <c r="B663" s="62" t="s">
        <v>53</v>
      </c>
      <c r="C663" s="63">
        <v>4.0</v>
      </c>
      <c r="D663" s="49">
        <f>IF(B663="","",VLOOKUP(B663,Magazzino!$B$4:$D$987,2))</f>
        <v>24</v>
      </c>
      <c r="E663" s="64" t="s">
        <v>64</v>
      </c>
      <c r="F663" s="55">
        <v>46244.0</v>
      </c>
    </row>
    <row r="664" ht="19.5" customHeight="1">
      <c r="A664" s="61"/>
      <c r="B664" s="62" t="s">
        <v>119</v>
      </c>
      <c r="C664" s="63">
        <v>2.0</v>
      </c>
      <c r="D664" s="49">
        <f>IF(B664="","",VLOOKUP(B664,Magazzino!$B$4:$D$987,2))</f>
        <v>0</v>
      </c>
      <c r="E664" s="64" t="s">
        <v>64</v>
      </c>
      <c r="F664" s="55">
        <v>46244.0</v>
      </c>
    </row>
    <row r="665" ht="19.5" customHeight="1">
      <c r="A665" s="61"/>
      <c r="B665" s="62" t="s">
        <v>47</v>
      </c>
      <c r="C665" s="63">
        <v>2.0</v>
      </c>
      <c r="D665" s="49">
        <f>IF(B665="","",VLOOKUP(B665,Magazzino!$B$4:$D$987,2))</f>
        <v>5</v>
      </c>
      <c r="E665" s="64" t="s">
        <v>64</v>
      </c>
      <c r="F665" s="55">
        <v>46244.0</v>
      </c>
    </row>
    <row r="666" ht="19.5" customHeight="1">
      <c r="A666" s="61"/>
      <c r="B666" s="62" t="s">
        <v>80</v>
      </c>
      <c r="C666" s="63">
        <v>2.0</v>
      </c>
      <c r="D666" s="49">
        <f>IF(B666="","",VLOOKUP(B666,Magazzino!$B$4:$D$987,2))</f>
        <v>9</v>
      </c>
      <c r="E666" s="64" t="s">
        <v>64</v>
      </c>
      <c r="F666" s="55">
        <v>46244.0</v>
      </c>
    </row>
    <row r="667" ht="19.5" customHeight="1">
      <c r="A667" s="61"/>
      <c r="B667" s="62" t="s">
        <v>73</v>
      </c>
      <c r="C667" s="63">
        <v>2.0</v>
      </c>
      <c r="D667" s="49">
        <f>IF(B667="","",VLOOKUP(B667,Magazzino!$B$4:$D$987,2))</f>
        <v>9</v>
      </c>
      <c r="E667" s="64" t="s">
        <v>64</v>
      </c>
      <c r="F667" s="55">
        <v>46244.0</v>
      </c>
    </row>
    <row r="668" ht="19.5" customHeight="1">
      <c r="A668" s="61"/>
      <c r="B668" s="62" t="s">
        <v>108</v>
      </c>
      <c r="C668" s="63">
        <v>2.0</v>
      </c>
      <c r="D668" s="49">
        <f>IF(B668="","",VLOOKUP(B668,Magazzino!$B$4:$D$987,2))</f>
        <v>7</v>
      </c>
      <c r="E668" s="64" t="s">
        <v>64</v>
      </c>
      <c r="F668" s="55">
        <v>46244.0</v>
      </c>
    </row>
    <row r="669" ht="19.5" customHeight="1">
      <c r="A669" s="61"/>
      <c r="B669" s="62" t="s">
        <v>44</v>
      </c>
      <c r="C669" s="63">
        <v>2.0</v>
      </c>
      <c r="D669" s="49">
        <f>IF(B669="","",VLOOKUP(B669,Magazzino!$B$4:$D$987,2))</f>
        <v>16</v>
      </c>
      <c r="E669" s="64" t="s">
        <v>64</v>
      </c>
      <c r="F669" s="55">
        <v>46244.0</v>
      </c>
    </row>
    <row r="670" ht="19.5" customHeight="1">
      <c r="A670" s="61"/>
      <c r="B670" s="62" t="s">
        <v>77</v>
      </c>
      <c r="C670" s="63">
        <v>2.0</v>
      </c>
      <c r="D670" s="49">
        <f>IF(B670="","",VLOOKUP(B670,Magazzino!$B$4:$D$987,2))</f>
        <v>42</v>
      </c>
      <c r="E670" s="64" t="s">
        <v>64</v>
      </c>
      <c r="F670" s="55">
        <v>46245.0</v>
      </c>
    </row>
    <row r="671" ht="19.5" customHeight="1">
      <c r="A671" s="61"/>
      <c r="B671" s="62" t="s">
        <v>16</v>
      </c>
      <c r="C671" s="63">
        <v>2.0</v>
      </c>
      <c r="D671" s="49">
        <f>IF(B671="","",VLOOKUP(B671,Magazzino!$B$4:$D$987,2))</f>
        <v>10</v>
      </c>
      <c r="E671" s="64" t="s">
        <v>64</v>
      </c>
      <c r="F671" s="55">
        <v>46245.0</v>
      </c>
    </row>
    <row r="672" ht="19.5" customHeight="1">
      <c r="A672" s="61"/>
      <c r="B672" s="62" t="s">
        <v>19</v>
      </c>
      <c r="C672" s="63">
        <v>1.0</v>
      </c>
      <c r="D672" s="49">
        <f>IF(B672="","",VLOOKUP(B672,Magazzino!$B$4:$D$987,2))</f>
        <v>3</v>
      </c>
      <c r="E672" s="64" t="s">
        <v>64</v>
      </c>
      <c r="F672" s="55">
        <v>46245.0</v>
      </c>
    </row>
    <row r="673" ht="19.5" customHeight="1">
      <c r="A673" s="61"/>
      <c r="B673" s="62" t="s">
        <v>28</v>
      </c>
      <c r="C673" s="63">
        <v>2.0</v>
      </c>
      <c r="D673" s="49">
        <f>IF(B673="","",VLOOKUP(B673,Magazzino!$B$4:$D$987,2))</f>
        <v>40</v>
      </c>
      <c r="E673" s="64" t="s">
        <v>233</v>
      </c>
      <c r="F673" s="55">
        <v>46245.0</v>
      </c>
    </row>
    <row r="674" ht="19.5" customHeight="1">
      <c r="A674" s="61"/>
      <c r="B674" s="62" t="s">
        <v>22</v>
      </c>
      <c r="C674" s="63">
        <v>2.0</v>
      </c>
      <c r="D674" s="49">
        <f>IF(B674="","",VLOOKUP(B674,Magazzino!$B$4:$D$987,2))</f>
        <v>5</v>
      </c>
      <c r="E674" s="64" t="s">
        <v>233</v>
      </c>
      <c r="F674" s="55">
        <v>46245.0</v>
      </c>
    </row>
    <row r="675" ht="19.5" customHeight="1">
      <c r="A675" s="61"/>
      <c r="B675" s="62" t="s">
        <v>19</v>
      </c>
      <c r="C675" s="63">
        <v>1.0</v>
      </c>
      <c r="D675" s="49">
        <f>IF(B675="","",VLOOKUP(B675,Magazzino!$B$4:$D$987,2))</f>
        <v>3</v>
      </c>
      <c r="E675" s="64" t="s">
        <v>233</v>
      </c>
      <c r="F675" s="55">
        <v>46245.0</v>
      </c>
    </row>
    <row r="676" ht="19.5" customHeight="1">
      <c r="A676" s="61"/>
      <c r="B676" s="62" t="s">
        <v>134</v>
      </c>
      <c r="C676" s="63">
        <v>1.0</v>
      </c>
      <c r="D676" s="49">
        <f>IF(B676="","",VLOOKUP(B676,Magazzino!$B$4:$D$987,2))</f>
        <v>30</v>
      </c>
      <c r="E676" s="64" t="s">
        <v>233</v>
      </c>
      <c r="F676" s="55">
        <v>46245.0</v>
      </c>
    </row>
    <row r="677" ht="19.5" customHeight="1">
      <c r="A677" s="61"/>
      <c r="B677" s="62" t="s">
        <v>118</v>
      </c>
      <c r="C677" s="63">
        <v>1.0</v>
      </c>
      <c r="D677" s="49">
        <f>IF(B677="","",VLOOKUP(B677,Magazzino!$B$4:$D$987,2))</f>
        <v>-2</v>
      </c>
      <c r="E677" s="64" t="s">
        <v>233</v>
      </c>
      <c r="F677" s="55">
        <v>46245.0</v>
      </c>
    </row>
    <row r="678" ht="19.5" customHeight="1">
      <c r="A678" s="61"/>
      <c r="B678" s="62" t="s">
        <v>60</v>
      </c>
      <c r="C678" s="63">
        <v>1.0</v>
      </c>
      <c r="D678" s="49">
        <f>IF(B678="","",VLOOKUP(B678,Magazzino!$B$4:$D$987,2))</f>
        <v>6</v>
      </c>
      <c r="E678" s="64" t="s">
        <v>233</v>
      </c>
      <c r="F678" s="55">
        <v>46246.0</v>
      </c>
    </row>
    <row r="679" ht="19.5" customHeight="1">
      <c r="A679" s="61"/>
      <c r="B679" s="62" t="s">
        <v>155</v>
      </c>
      <c r="C679" s="63">
        <v>1.0</v>
      </c>
      <c r="D679" s="49">
        <f>IF(B679="","",VLOOKUP(B679,Magazzino!$B$4:$D$987,2))</f>
        <v>11</v>
      </c>
      <c r="E679" s="64" t="s">
        <v>294</v>
      </c>
      <c r="F679" s="55">
        <v>46247.0</v>
      </c>
    </row>
    <row r="680" ht="19.5" customHeight="1">
      <c r="A680" s="61"/>
      <c r="B680" s="62" t="s">
        <v>15</v>
      </c>
      <c r="C680" s="63">
        <v>3.0</v>
      </c>
      <c r="D680" s="49">
        <f>IF(B680="","",VLOOKUP(B680,Magazzino!$B$4:$D$987,2))</f>
        <v>-2</v>
      </c>
      <c r="E680" s="64" t="s">
        <v>129</v>
      </c>
      <c r="F680" s="55">
        <v>46254.0</v>
      </c>
    </row>
    <row r="681" ht="19.5" customHeight="1">
      <c r="A681" s="61"/>
      <c r="B681" s="62" t="s">
        <v>222</v>
      </c>
      <c r="C681" s="63">
        <v>1.0</v>
      </c>
      <c r="D681" s="49">
        <f>IF(B681="","",VLOOKUP(B681,Magazzino!$B$4:$D$987,2))</f>
        <v>1</v>
      </c>
      <c r="E681" s="64" t="s">
        <v>129</v>
      </c>
      <c r="F681" s="55">
        <v>46254.0</v>
      </c>
    </row>
    <row r="682" ht="19.5" customHeight="1">
      <c r="A682" s="61"/>
      <c r="B682" s="62" t="s">
        <v>134</v>
      </c>
      <c r="C682" s="63">
        <v>2.0</v>
      </c>
      <c r="D682" s="49">
        <f>IF(B682="","",VLOOKUP(B682,Magazzino!$B$4:$D$987,2))</f>
        <v>30</v>
      </c>
      <c r="E682" s="64" t="s">
        <v>129</v>
      </c>
      <c r="F682" s="55">
        <v>46254.0</v>
      </c>
    </row>
    <row r="683" ht="19.5" customHeight="1">
      <c r="A683" s="61"/>
      <c r="B683" s="62" t="s">
        <v>19</v>
      </c>
      <c r="C683" s="63">
        <v>1.0</v>
      </c>
      <c r="D683" s="49">
        <f>IF(B683="","",VLOOKUP(B683,Magazzino!$B$4:$D$987,2))</f>
        <v>3</v>
      </c>
      <c r="E683" s="64" t="s">
        <v>129</v>
      </c>
      <c r="F683" s="55">
        <v>46254.0</v>
      </c>
    </row>
    <row r="684" ht="19.5" customHeight="1">
      <c r="A684" s="61"/>
      <c r="B684" s="62" t="s">
        <v>178</v>
      </c>
      <c r="C684" s="63">
        <v>1.0</v>
      </c>
      <c r="D684" s="49">
        <f>IF(B684="","",VLOOKUP(B684,Magazzino!$B$4:$D$987,2))</f>
        <v>-3</v>
      </c>
      <c r="E684" s="64" t="s">
        <v>129</v>
      </c>
      <c r="F684" s="55">
        <v>46256.0</v>
      </c>
    </row>
    <row r="685" ht="19.5" customHeight="1">
      <c r="A685" s="61"/>
      <c r="B685" s="62" t="s">
        <v>22</v>
      </c>
      <c r="C685" s="63">
        <v>1.0</v>
      </c>
      <c r="D685" s="49">
        <f>IF(B685="","",VLOOKUP(B685,Magazzino!$B$4:$D$987,2))</f>
        <v>5</v>
      </c>
      <c r="E685" s="64" t="s">
        <v>233</v>
      </c>
      <c r="F685" s="55">
        <v>46256.0</v>
      </c>
    </row>
    <row r="686" ht="19.5" customHeight="1">
      <c r="A686" s="61"/>
      <c r="B686" s="62" t="s">
        <v>19</v>
      </c>
      <c r="C686" s="63">
        <v>2.0</v>
      </c>
      <c r="D686" s="49">
        <f>IF(B686="","",VLOOKUP(B686,Magazzino!$B$4:$D$987,2))</f>
        <v>3</v>
      </c>
      <c r="E686" s="64" t="s">
        <v>233</v>
      </c>
      <c r="F686" s="55">
        <v>46256.0</v>
      </c>
    </row>
    <row r="687" ht="19.5" customHeight="1">
      <c r="A687" s="61"/>
      <c r="B687" s="62" t="s">
        <v>121</v>
      </c>
      <c r="C687" s="63">
        <v>1.0</v>
      </c>
      <c r="D687" s="49">
        <f>IF(B687="","",VLOOKUP(B687,Magazzino!$B$4:$D$987,2))</f>
        <v>11</v>
      </c>
      <c r="E687" s="64" t="s">
        <v>233</v>
      </c>
      <c r="F687" s="55">
        <v>46256.0</v>
      </c>
    </row>
    <row r="688" ht="19.5" customHeight="1">
      <c r="A688" s="61"/>
      <c r="B688" s="62" t="s">
        <v>217</v>
      </c>
      <c r="C688" s="63">
        <v>1.0</v>
      </c>
      <c r="D688" s="49">
        <f>IF(B688="","",VLOOKUP(B688,Magazzino!$B$4:$D$987,2))</f>
        <v>13</v>
      </c>
      <c r="E688" s="64" t="s">
        <v>129</v>
      </c>
      <c r="F688" s="55">
        <v>46256.0</v>
      </c>
    </row>
    <row r="689" ht="19.5" customHeight="1">
      <c r="A689" s="61"/>
      <c r="B689" s="62" t="s">
        <v>227</v>
      </c>
      <c r="C689" s="63">
        <v>1.0</v>
      </c>
      <c r="D689" s="49">
        <f>IF(B689="","",VLOOKUP(B689,Magazzino!$B$4:$D$987,2))</f>
        <v>4</v>
      </c>
      <c r="E689" s="64" t="s">
        <v>129</v>
      </c>
      <c r="F689" s="55">
        <v>46256.0</v>
      </c>
    </row>
    <row r="690" ht="19.5" customHeight="1">
      <c r="A690" s="61"/>
      <c r="B690" s="62" t="s">
        <v>45</v>
      </c>
      <c r="C690" s="63">
        <v>2.0</v>
      </c>
      <c r="D690" s="49">
        <f>IF(B690="","",VLOOKUP(B690,Magazzino!$B$4:$D$987,2))</f>
        <v>102</v>
      </c>
      <c r="E690" s="64" t="s">
        <v>129</v>
      </c>
      <c r="F690" s="55">
        <v>46256.0</v>
      </c>
    </row>
    <row r="691" ht="19.5" customHeight="1">
      <c r="A691" s="61"/>
      <c r="B691" s="62" t="s">
        <v>249</v>
      </c>
      <c r="C691" s="63">
        <v>1.0</v>
      </c>
      <c r="D691" s="49">
        <f>IF(B691="","",VLOOKUP(B691,Magazzino!$B$4:$D$987,2))</f>
        <v>5</v>
      </c>
      <c r="E691" s="64" t="s">
        <v>129</v>
      </c>
      <c r="F691" s="55">
        <v>46260.0</v>
      </c>
    </row>
    <row r="692" ht="19.5" customHeight="1">
      <c r="A692" s="61"/>
      <c r="B692" s="62" t="s">
        <v>128</v>
      </c>
      <c r="C692" s="63">
        <v>2.0</v>
      </c>
      <c r="D692" s="49">
        <f>IF(B692="","",VLOOKUP(B692,Magazzino!$B$4:$D$987,2))</f>
        <v>5</v>
      </c>
      <c r="E692" s="64" t="s">
        <v>129</v>
      </c>
      <c r="F692" s="55">
        <v>46260.0</v>
      </c>
    </row>
    <row r="693" ht="19.5" customHeight="1">
      <c r="A693" s="61"/>
      <c r="B693" s="62" t="s">
        <v>179</v>
      </c>
      <c r="C693" s="63">
        <v>4.0</v>
      </c>
      <c r="D693" s="49">
        <f>IF(B693="","",VLOOKUP(B693,Magazzino!$B$4:$D$987,2))</f>
        <v>0</v>
      </c>
      <c r="E693" s="64" t="s">
        <v>129</v>
      </c>
      <c r="F693" s="55">
        <v>46260.0</v>
      </c>
    </row>
    <row r="694" ht="19.5" customHeight="1">
      <c r="A694" s="61"/>
      <c r="B694" s="62" t="s">
        <v>135</v>
      </c>
      <c r="C694" s="63">
        <v>1.0</v>
      </c>
      <c r="D694" s="49">
        <f>IF(B694="","",VLOOKUP(B694,Magazzino!$B$4:$D$987,2))</f>
        <v>12</v>
      </c>
      <c r="E694" s="64" t="s">
        <v>185</v>
      </c>
      <c r="F694" s="55">
        <v>46261.0</v>
      </c>
    </row>
    <row r="695" ht="19.5" customHeight="1">
      <c r="A695" s="61"/>
      <c r="B695" s="62" t="s">
        <v>234</v>
      </c>
      <c r="C695" s="63">
        <v>1.0</v>
      </c>
      <c r="D695" s="49">
        <f>IF(B695="","",VLOOKUP(B695,Magazzino!$B$4:$D$987,2))</f>
        <v>0</v>
      </c>
      <c r="E695" s="64" t="s">
        <v>293</v>
      </c>
      <c r="F695" s="55">
        <v>46262.0</v>
      </c>
    </row>
    <row r="696" ht="19.5" customHeight="1">
      <c r="A696" s="61"/>
      <c r="B696" s="62" t="s">
        <v>15</v>
      </c>
      <c r="C696" s="63">
        <v>1.0</v>
      </c>
      <c r="D696" s="49">
        <f>IF(B696="","",VLOOKUP(B696,Magazzino!$B$4:$D$987,2))</f>
        <v>-2</v>
      </c>
      <c r="E696" s="64" t="s">
        <v>295</v>
      </c>
      <c r="F696" s="55">
        <v>46263.0</v>
      </c>
    </row>
    <row r="697" ht="19.5" customHeight="1">
      <c r="A697" s="61"/>
      <c r="B697" s="62" t="s">
        <v>178</v>
      </c>
      <c r="C697" s="63">
        <v>1.0</v>
      </c>
      <c r="D697" s="49">
        <f>IF(B697="","",VLOOKUP(B697,Magazzino!$B$4:$D$987,2))</f>
        <v>-3</v>
      </c>
      <c r="E697" s="64" t="s">
        <v>296</v>
      </c>
      <c r="F697" s="55">
        <v>46263.0</v>
      </c>
    </row>
    <row r="698" ht="19.5" customHeight="1">
      <c r="A698" s="61"/>
      <c r="B698" s="62" t="s">
        <v>119</v>
      </c>
      <c r="C698" s="63">
        <v>1.0</v>
      </c>
      <c r="D698" s="49">
        <f>IF(B698="","",VLOOKUP(B698,Magazzino!$B$4:$D$987,2))</f>
        <v>0</v>
      </c>
      <c r="E698" s="64" t="s">
        <v>233</v>
      </c>
      <c r="F698" s="55">
        <v>46265.0</v>
      </c>
    </row>
    <row r="699" ht="19.5" customHeight="1">
      <c r="A699" s="61"/>
      <c r="B699" s="62" t="s">
        <v>19</v>
      </c>
      <c r="C699" s="63">
        <v>2.0</v>
      </c>
      <c r="D699" s="49">
        <f>IF(B699="","",VLOOKUP(B699,Magazzino!$B$4:$D$987,2))</f>
        <v>3</v>
      </c>
      <c r="E699" s="64" t="s">
        <v>233</v>
      </c>
      <c r="F699" s="55">
        <v>46265.0</v>
      </c>
    </row>
    <row r="700" ht="19.5" customHeight="1">
      <c r="A700" s="61"/>
      <c r="B700" s="62" t="s">
        <v>32</v>
      </c>
      <c r="C700" s="63">
        <v>1.0</v>
      </c>
      <c r="D700" s="49">
        <f>IF(B700="","",VLOOKUP(B700,Magazzino!$B$4:$D$987,2))</f>
        <v>-2</v>
      </c>
      <c r="E700" s="64" t="s">
        <v>233</v>
      </c>
      <c r="F700" s="55">
        <v>46265.0</v>
      </c>
    </row>
    <row r="701" ht="19.5" customHeight="1">
      <c r="A701" s="61"/>
      <c r="B701" s="62" t="s">
        <v>80</v>
      </c>
      <c r="C701" s="63">
        <v>1.0</v>
      </c>
      <c r="D701" s="49">
        <f>IF(B701="","",VLOOKUP(B701,Magazzino!$B$4:$D$987,2))</f>
        <v>9</v>
      </c>
      <c r="E701" s="64" t="s">
        <v>233</v>
      </c>
      <c r="F701" s="55">
        <v>46265.0</v>
      </c>
    </row>
    <row r="702" ht="19.5" customHeight="1">
      <c r="A702" s="61"/>
      <c r="B702" s="62" t="s">
        <v>22</v>
      </c>
      <c r="C702" s="63">
        <v>1.0</v>
      </c>
      <c r="D702" s="49">
        <f>IF(B702="","",VLOOKUP(B702,Magazzino!$B$4:$D$987,2))</f>
        <v>5</v>
      </c>
      <c r="E702" s="64" t="s">
        <v>233</v>
      </c>
      <c r="F702" s="55">
        <v>46265.0</v>
      </c>
    </row>
    <row r="703" ht="19.5" customHeight="1">
      <c r="A703" s="61"/>
      <c r="B703" s="62" t="s">
        <v>52</v>
      </c>
      <c r="C703" s="63">
        <v>1.0</v>
      </c>
      <c r="D703" s="49">
        <f>IF(B703="","",VLOOKUP(B703,Magazzino!$B$4:$D$987,2))</f>
        <v>18</v>
      </c>
      <c r="E703" s="64" t="s">
        <v>233</v>
      </c>
      <c r="F703" s="55">
        <v>46265.0</v>
      </c>
    </row>
    <row r="704" ht="19.5" customHeight="1">
      <c r="A704" s="61"/>
      <c r="B704" s="62" t="s">
        <v>130</v>
      </c>
      <c r="C704" s="63">
        <v>1.0</v>
      </c>
      <c r="D704" s="49">
        <f>IF(B704="","",VLOOKUP(B704,Magazzino!$B$4:$D$987,2))</f>
        <v>-2</v>
      </c>
      <c r="E704" s="64" t="s">
        <v>233</v>
      </c>
      <c r="F704" s="55">
        <v>46265.0</v>
      </c>
    </row>
    <row r="705" ht="19.5" customHeight="1">
      <c r="A705" s="61"/>
      <c r="B705" s="62" t="s">
        <v>119</v>
      </c>
      <c r="C705" s="63">
        <v>2.0</v>
      </c>
      <c r="D705" s="49">
        <f>IF(B705="","",VLOOKUP(B705,Magazzino!$B$4:$D$987,2))</f>
        <v>0</v>
      </c>
      <c r="E705" s="64" t="s">
        <v>64</v>
      </c>
      <c r="F705" s="55">
        <v>46265.0</v>
      </c>
    </row>
    <row r="706" ht="19.5" customHeight="1">
      <c r="A706" s="61"/>
      <c r="B706" s="62" t="s">
        <v>56</v>
      </c>
      <c r="C706" s="63">
        <v>2.0</v>
      </c>
      <c r="D706" s="49">
        <f>IF(B706="","",VLOOKUP(B706,Magazzino!$B$4:$D$987,2))</f>
        <v>-2</v>
      </c>
      <c r="E706" s="64" t="s">
        <v>64</v>
      </c>
      <c r="F706" s="55">
        <v>46265.0</v>
      </c>
    </row>
    <row r="707" ht="19.5" customHeight="1">
      <c r="A707" s="61"/>
      <c r="B707" s="62" t="s">
        <v>164</v>
      </c>
      <c r="C707" s="63">
        <v>2.0</v>
      </c>
      <c r="D707" s="49">
        <f>IF(B707="","",VLOOKUP(B707,Magazzino!$B$4:$D$987,2))</f>
        <v>-2</v>
      </c>
      <c r="E707" s="64" t="s">
        <v>64</v>
      </c>
      <c r="F707" s="55">
        <v>46265.0</v>
      </c>
    </row>
    <row r="708" ht="19.5" customHeight="1">
      <c r="A708" s="61"/>
      <c r="B708" s="62" t="s">
        <v>124</v>
      </c>
      <c r="C708" s="63">
        <v>1.0</v>
      </c>
      <c r="D708" s="49">
        <f>IF(B708="","",VLOOKUP(B708,Magazzino!$B$4:$D$987,2))</f>
        <v>9</v>
      </c>
      <c r="E708" s="64" t="s">
        <v>64</v>
      </c>
      <c r="F708" s="55">
        <v>46265.0</v>
      </c>
    </row>
    <row r="709" ht="19.5" customHeight="1">
      <c r="A709" s="61"/>
      <c r="B709" s="62" t="s">
        <v>249</v>
      </c>
      <c r="C709" s="63">
        <v>1.0</v>
      </c>
      <c r="D709" s="49">
        <f>IF(B709="","",VLOOKUP(B709,Magazzino!$B$4:$D$987,2))</f>
        <v>5</v>
      </c>
      <c r="E709" s="64" t="s">
        <v>64</v>
      </c>
      <c r="F709" s="55">
        <v>46265.0</v>
      </c>
    </row>
    <row r="710" ht="19.5" customHeight="1">
      <c r="A710" s="61"/>
      <c r="B710" s="62" t="s">
        <v>126</v>
      </c>
      <c r="C710" s="63">
        <v>1.0</v>
      </c>
      <c r="D710" s="49">
        <f>IF(B710="","",VLOOKUP(B710,Magazzino!$B$4:$D$987,2))</f>
        <v>2</v>
      </c>
      <c r="E710" s="64" t="s">
        <v>64</v>
      </c>
      <c r="F710" s="55">
        <v>46265.0</v>
      </c>
    </row>
    <row r="711" ht="19.5" customHeight="1">
      <c r="A711" s="61"/>
      <c r="B711" s="62" t="s">
        <v>178</v>
      </c>
      <c r="C711" s="63">
        <v>1.0</v>
      </c>
      <c r="D711" s="49">
        <f>IF(B711="","",VLOOKUP(B711,Magazzino!$B$4:$D$987,2))</f>
        <v>-3</v>
      </c>
      <c r="E711" s="64" t="s">
        <v>129</v>
      </c>
      <c r="F711" s="55">
        <v>46268.0</v>
      </c>
    </row>
    <row r="712" ht="19.5" customHeight="1">
      <c r="A712" s="61"/>
      <c r="B712" s="62" t="s">
        <v>28</v>
      </c>
      <c r="C712" s="63">
        <v>2.0</v>
      </c>
      <c r="D712" s="49">
        <f>IF(B712="","",VLOOKUP(B712,Magazzino!$B$4:$D$987,2))</f>
        <v>40</v>
      </c>
      <c r="E712" s="64" t="s">
        <v>129</v>
      </c>
      <c r="F712" s="55">
        <v>46268.0</v>
      </c>
    </row>
    <row r="713" ht="19.5" customHeight="1">
      <c r="A713" s="61"/>
      <c r="B713" s="62" t="s">
        <v>118</v>
      </c>
      <c r="C713" s="63">
        <v>1.0</v>
      </c>
      <c r="D713" s="49">
        <f>IF(B713="","",VLOOKUP(B713,Magazzino!$B$4:$D$987,2))</f>
        <v>-2</v>
      </c>
      <c r="E713" s="64" t="s">
        <v>129</v>
      </c>
      <c r="F713" s="55">
        <v>46268.0</v>
      </c>
    </row>
    <row r="714" ht="19.5" customHeight="1">
      <c r="A714" s="61"/>
      <c r="B714" s="62" t="s">
        <v>82</v>
      </c>
      <c r="C714" s="63">
        <v>1.0</v>
      </c>
      <c r="D714" s="49">
        <f>IF(B714="","",VLOOKUP(B714,Magazzino!$B$4:$D$987,2))</f>
        <v>-2</v>
      </c>
      <c r="E714" s="64" t="s">
        <v>129</v>
      </c>
      <c r="F714" s="55">
        <v>46268.0</v>
      </c>
    </row>
    <row r="715" ht="19.5" customHeight="1">
      <c r="A715" s="61"/>
      <c r="B715" s="62" t="s">
        <v>108</v>
      </c>
      <c r="C715" s="63">
        <v>2.0</v>
      </c>
      <c r="D715" s="49">
        <f>IF(B715="","",VLOOKUP(B715,Magazzino!$B$4:$D$987,2))</f>
        <v>7</v>
      </c>
      <c r="E715" s="64" t="s">
        <v>129</v>
      </c>
      <c r="F715" s="55">
        <v>46268.0</v>
      </c>
    </row>
    <row r="716" ht="19.5" customHeight="1">
      <c r="A716" s="61"/>
      <c r="B716" s="62" t="s">
        <v>68</v>
      </c>
      <c r="C716" s="63">
        <v>3.0</v>
      </c>
      <c r="D716" s="49">
        <f>IF(B716="","",VLOOKUP(B716,Magazzino!$B$4:$D$987,2))</f>
        <v>192</v>
      </c>
      <c r="E716" s="64" t="s">
        <v>129</v>
      </c>
      <c r="F716" s="55">
        <v>46268.0</v>
      </c>
    </row>
    <row r="717" ht="19.5" customHeight="1">
      <c r="A717" s="61"/>
      <c r="B717" s="62" t="s">
        <v>66</v>
      </c>
      <c r="C717" s="63">
        <v>1.0</v>
      </c>
      <c r="D717" s="49">
        <f>IF(B717="","",VLOOKUP(B717,Magazzino!$B$4:$D$987,2))</f>
        <v>-2</v>
      </c>
      <c r="E717" s="64" t="s">
        <v>129</v>
      </c>
      <c r="F717" s="55">
        <v>46268.0</v>
      </c>
    </row>
    <row r="718" ht="19.5" customHeight="1">
      <c r="A718" s="61"/>
      <c r="B718" s="62" t="s">
        <v>252</v>
      </c>
      <c r="C718" s="63">
        <v>1.0</v>
      </c>
      <c r="D718" s="49">
        <f>IF(B718="","",VLOOKUP(B718,Magazzino!$B$4:$D$987,2))</f>
        <v>3</v>
      </c>
      <c r="E718" s="64" t="s">
        <v>233</v>
      </c>
      <c r="F718" s="55">
        <v>46270.0</v>
      </c>
    </row>
    <row r="719" ht="19.5" customHeight="1">
      <c r="A719" s="61"/>
      <c r="B719" s="62" t="s">
        <v>19</v>
      </c>
      <c r="C719" s="63">
        <v>1.0</v>
      </c>
      <c r="D719" s="49">
        <f>IF(B719="","",VLOOKUP(B719,Magazzino!$B$4:$D$987,2))</f>
        <v>3</v>
      </c>
      <c r="E719" s="64" t="s">
        <v>233</v>
      </c>
      <c r="F719" s="55">
        <v>46270.0</v>
      </c>
    </row>
    <row r="720" ht="19.5" customHeight="1">
      <c r="A720" s="61"/>
      <c r="B720" s="62" t="s">
        <v>22</v>
      </c>
      <c r="C720" s="63">
        <v>1.0</v>
      </c>
      <c r="D720" s="49">
        <f>IF(B720="","",VLOOKUP(B720,Magazzino!$B$4:$D$987,2))</f>
        <v>5</v>
      </c>
      <c r="E720" s="64" t="s">
        <v>233</v>
      </c>
      <c r="F720" s="55">
        <v>46270.0</v>
      </c>
    </row>
    <row r="721" ht="19.5" customHeight="1">
      <c r="A721" s="61"/>
      <c r="B721" s="62" t="s">
        <v>73</v>
      </c>
      <c r="C721" s="63">
        <v>1.0</v>
      </c>
      <c r="D721" s="49">
        <f>IF(B721="","",VLOOKUP(B721,Magazzino!$B$4:$D$987,2))</f>
        <v>9</v>
      </c>
      <c r="E721" s="64" t="s">
        <v>233</v>
      </c>
      <c r="F721" s="55">
        <v>46270.0</v>
      </c>
    </row>
    <row r="722" ht="19.5" customHeight="1">
      <c r="A722" s="61"/>
      <c r="B722" s="62" t="s">
        <v>186</v>
      </c>
      <c r="C722" s="63">
        <v>1.0</v>
      </c>
      <c r="D722" s="49">
        <f>IF(B722="","",VLOOKUP(B722,Magazzino!$B$4:$D$987,2))</f>
        <v>40</v>
      </c>
      <c r="E722" s="64" t="s">
        <v>233</v>
      </c>
      <c r="F722" s="55">
        <v>46270.0</v>
      </c>
    </row>
    <row r="723" ht="19.5" customHeight="1">
      <c r="A723" s="61"/>
      <c r="B723" s="62" t="s">
        <v>77</v>
      </c>
      <c r="C723" s="63">
        <v>1.0</v>
      </c>
      <c r="D723" s="49">
        <f>IF(B723="","",VLOOKUP(B723,Magazzino!$B$4:$D$987,2))</f>
        <v>42</v>
      </c>
      <c r="E723" s="64" t="s">
        <v>233</v>
      </c>
      <c r="F723" s="55">
        <v>46270.0</v>
      </c>
    </row>
    <row r="724" ht="19.5" customHeight="1">
      <c r="A724" s="61"/>
      <c r="B724" s="62" t="s">
        <v>36</v>
      </c>
      <c r="C724" s="63">
        <v>1.0</v>
      </c>
      <c r="D724" s="49">
        <f>IF(B724="","",VLOOKUP(B724,Magazzino!$B$4:$D$987,2))</f>
        <v>1</v>
      </c>
      <c r="E724" s="64" t="s">
        <v>233</v>
      </c>
      <c r="F724" s="55">
        <v>46270.0</v>
      </c>
    </row>
    <row r="725" ht="19.5" customHeight="1">
      <c r="A725" s="61"/>
      <c r="B725" s="62" t="s">
        <v>119</v>
      </c>
      <c r="C725" s="63">
        <v>2.0</v>
      </c>
      <c r="D725" s="49">
        <f>IF(B725="","",VLOOKUP(B725,Magazzino!$B$4:$D$987,2))</f>
        <v>0</v>
      </c>
      <c r="E725" s="64" t="s">
        <v>64</v>
      </c>
      <c r="F725" s="55">
        <v>46270.0</v>
      </c>
    </row>
    <row r="726" ht="19.5" customHeight="1">
      <c r="A726" s="61"/>
      <c r="B726" s="62" t="s">
        <v>47</v>
      </c>
      <c r="C726" s="63">
        <v>2.0</v>
      </c>
      <c r="D726" s="49">
        <f>IF(B726="","",VLOOKUP(B726,Magazzino!$B$4:$D$987,2))</f>
        <v>5</v>
      </c>
      <c r="E726" s="64" t="s">
        <v>64</v>
      </c>
      <c r="F726" s="55">
        <v>46270.0</v>
      </c>
    </row>
    <row r="727" ht="19.5" customHeight="1">
      <c r="A727" s="61"/>
      <c r="B727" s="62" t="s">
        <v>80</v>
      </c>
      <c r="C727" s="63">
        <v>2.0</v>
      </c>
      <c r="D727" s="49">
        <f>IF(B727="","",VLOOKUP(B727,Magazzino!$B$4:$D$987,2))</f>
        <v>9</v>
      </c>
      <c r="E727" s="64" t="s">
        <v>64</v>
      </c>
      <c r="F727" s="55">
        <v>46270.0</v>
      </c>
    </row>
    <row r="728" ht="19.5" customHeight="1">
      <c r="A728" s="61"/>
      <c r="B728" s="62" t="s">
        <v>149</v>
      </c>
      <c r="C728" s="63">
        <v>10.0</v>
      </c>
      <c r="D728" s="49">
        <f>IF(B728="","",VLOOKUP(B728,Magazzino!$B$4:$D$987,2))</f>
        <v>11</v>
      </c>
      <c r="E728" s="64" t="s">
        <v>111</v>
      </c>
      <c r="F728" s="55">
        <v>46272.0</v>
      </c>
    </row>
    <row r="729" ht="19.5" customHeight="1">
      <c r="A729" s="61"/>
      <c r="B729" s="62" t="s">
        <v>77</v>
      </c>
      <c r="C729" s="63">
        <v>1.0</v>
      </c>
      <c r="D729" s="49">
        <f>IF(B729="","",VLOOKUP(B729,Magazzino!$B$4:$D$987,2))</f>
        <v>42</v>
      </c>
      <c r="E729" s="64" t="s">
        <v>250</v>
      </c>
      <c r="F729" s="55">
        <v>46272.0</v>
      </c>
    </row>
    <row r="730" ht="19.5" customHeight="1">
      <c r="A730" s="61"/>
      <c r="B730" s="62" t="s">
        <v>28</v>
      </c>
      <c r="C730" s="63">
        <v>1.0</v>
      </c>
      <c r="D730" s="49">
        <f>IF(B730="","",VLOOKUP(B730,Magazzino!$B$4:$D$987,2))</f>
        <v>40</v>
      </c>
      <c r="E730" s="64" t="s">
        <v>194</v>
      </c>
      <c r="F730" s="55">
        <v>46272.0</v>
      </c>
    </row>
    <row r="731" ht="19.5" customHeight="1">
      <c r="A731" s="61"/>
      <c r="B731" s="62" t="s">
        <v>80</v>
      </c>
      <c r="C731" s="63">
        <v>1.0</v>
      </c>
      <c r="D731" s="49">
        <f>IF(B731="","",VLOOKUP(B731,Magazzino!$B$4:$D$987,2))</f>
        <v>9</v>
      </c>
      <c r="E731" s="64" t="s">
        <v>233</v>
      </c>
      <c r="F731" s="55">
        <v>46273.0</v>
      </c>
    </row>
    <row r="732" ht="19.5" customHeight="1">
      <c r="A732" s="61"/>
      <c r="B732" s="62" t="s">
        <v>77</v>
      </c>
      <c r="C732" s="63">
        <v>1.0</v>
      </c>
      <c r="D732" s="49">
        <f>IF(B732="","",VLOOKUP(B732,Magazzino!$B$4:$D$987,2))</f>
        <v>42</v>
      </c>
      <c r="E732" s="64" t="s">
        <v>297</v>
      </c>
      <c r="F732" s="55">
        <v>46274.0</v>
      </c>
    </row>
    <row r="733" ht="19.5" customHeight="1">
      <c r="A733" s="61"/>
      <c r="B733" s="62" t="s">
        <v>117</v>
      </c>
      <c r="C733" s="63">
        <v>1.0</v>
      </c>
      <c r="D733" s="49">
        <f>IF(B733="","",VLOOKUP(B733,Magazzino!$B$4:$D$987,2))</f>
        <v>27</v>
      </c>
      <c r="E733" s="64" t="s">
        <v>297</v>
      </c>
      <c r="F733" s="55">
        <v>46274.0</v>
      </c>
    </row>
    <row r="734" ht="19.5" customHeight="1">
      <c r="A734" s="61"/>
      <c r="B734" s="62" t="s">
        <v>73</v>
      </c>
      <c r="C734" s="63">
        <v>2.0</v>
      </c>
      <c r="D734" s="49">
        <f>IF(B734="","",VLOOKUP(B734,Magazzino!$B$4:$D$987,2))</f>
        <v>9</v>
      </c>
      <c r="E734" s="64" t="s">
        <v>64</v>
      </c>
      <c r="F734" s="55">
        <v>46275.0</v>
      </c>
    </row>
    <row r="735" ht="19.5" customHeight="1">
      <c r="A735" s="61"/>
      <c r="B735" s="62" t="s">
        <v>44</v>
      </c>
      <c r="C735" s="63">
        <v>2.0</v>
      </c>
      <c r="D735" s="49">
        <f>IF(B735="","",VLOOKUP(B735,Magazzino!$B$4:$D$987,2))</f>
        <v>16</v>
      </c>
      <c r="E735" s="64" t="s">
        <v>64</v>
      </c>
      <c r="F735" s="55">
        <v>46275.0</v>
      </c>
    </row>
    <row r="736" ht="19.5" customHeight="1">
      <c r="A736" s="61"/>
      <c r="B736" s="62" t="s">
        <v>108</v>
      </c>
      <c r="C736" s="63">
        <v>2.0</v>
      </c>
      <c r="D736" s="49">
        <f>IF(B736="","",VLOOKUP(B736,Magazzino!$B$4:$D$987,2))</f>
        <v>7</v>
      </c>
      <c r="E736" s="64" t="s">
        <v>64</v>
      </c>
      <c r="F736" s="55">
        <v>46275.0</v>
      </c>
    </row>
    <row r="737" ht="19.5" customHeight="1">
      <c r="A737" s="61"/>
      <c r="B737" s="62" t="s">
        <v>119</v>
      </c>
      <c r="C737" s="63">
        <v>2.0</v>
      </c>
      <c r="D737" s="49">
        <f>IF(B737="","",VLOOKUP(B737,Magazzino!$B$4:$D$987,2))</f>
        <v>0</v>
      </c>
      <c r="E737" s="64" t="s">
        <v>64</v>
      </c>
      <c r="F737" s="55">
        <v>46275.0</v>
      </c>
    </row>
    <row r="738" ht="19.5" customHeight="1">
      <c r="A738" s="61"/>
      <c r="B738" s="62" t="s">
        <v>227</v>
      </c>
      <c r="C738" s="63">
        <v>1.0</v>
      </c>
      <c r="D738" s="49">
        <f>IF(B738="","",VLOOKUP(B738,Magazzino!$B$4:$D$987,2))</f>
        <v>4</v>
      </c>
      <c r="E738" s="64" t="s">
        <v>129</v>
      </c>
      <c r="F738" s="55">
        <v>46275.0</v>
      </c>
    </row>
    <row r="739" ht="19.5" customHeight="1">
      <c r="A739" s="61"/>
      <c r="B739" s="62" t="s">
        <v>45</v>
      </c>
      <c r="C739" s="63">
        <v>3.0</v>
      </c>
      <c r="D739" s="49">
        <f>IF(B739="","",VLOOKUP(B739,Magazzino!$B$4:$D$987,2))</f>
        <v>102</v>
      </c>
      <c r="E739" s="64" t="s">
        <v>129</v>
      </c>
      <c r="F739" s="55">
        <v>46275.0</v>
      </c>
    </row>
    <row r="740" ht="19.5" customHeight="1">
      <c r="A740" s="61"/>
      <c r="B740" s="62" t="s">
        <v>28</v>
      </c>
      <c r="C740" s="63">
        <v>2.0</v>
      </c>
      <c r="D740" s="49">
        <f>IF(B740="","",VLOOKUP(B740,Magazzino!$B$4:$D$987,2))</f>
        <v>40</v>
      </c>
      <c r="E740" s="64" t="s">
        <v>129</v>
      </c>
      <c r="F740" s="55">
        <v>46275.0</v>
      </c>
    </row>
    <row r="741" ht="19.5" customHeight="1">
      <c r="A741" s="61"/>
      <c r="B741" s="62" t="s">
        <v>19</v>
      </c>
      <c r="C741" s="63">
        <v>1.0</v>
      </c>
      <c r="D741" s="49">
        <f>IF(B741="","",VLOOKUP(B741,Magazzino!$B$4:$D$987,2))</f>
        <v>3</v>
      </c>
      <c r="E741" s="64" t="s">
        <v>129</v>
      </c>
      <c r="F741" s="55">
        <v>46275.0</v>
      </c>
    </row>
    <row r="742" ht="19.5" customHeight="1">
      <c r="A742" s="61"/>
      <c r="B742" s="62" t="s">
        <v>110</v>
      </c>
      <c r="C742" s="63">
        <v>1.0</v>
      </c>
      <c r="D742" s="49">
        <f>IF(B742="","",VLOOKUP(B742,Magazzino!$B$4:$D$987,2))</f>
        <v>-4</v>
      </c>
      <c r="E742" s="64" t="s">
        <v>129</v>
      </c>
      <c r="F742" s="55">
        <v>46275.0</v>
      </c>
    </row>
    <row r="743" ht="19.5" customHeight="1">
      <c r="A743" s="61"/>
      <c r="B743" s="62" t="s">
        <v>134</v>
      </c>
      <c r="C743" s="63">
        <v>1.0</v>
      </c>
      <c r="D743" s="49">
        <f>IF(B743="","",VLOOKUP(B743,Magazzino!$B$4:$D$987,2))</f>
        <v>30</v>
      </c>
      <c r="E743" s="64" t="s">
        <v>129</v>
      </c>
      <c r="F743" s="55">
        <v>46275.0</v>
      </c>
    </row>
    <row r="744" ht="19.5" customHeight="1">
      <c r="A744" s="61"/>
      <c r="B744" s="62" t="s">
        <v>164</v>
      </c>
      <c r="C744" s="63">
        <v>2.0</v>
      </c>
      <c r="D744" s="49">
        <f>IF(B744="","",VLOOKUP(B744,Magazzino!$B$4:$D$987,2))</f>
        <v>-2</v>
      </c>
      <c r="E744" s="64" t="s">
        <v>64</v>
      </c>
      <c r="F744" s="55">
        <v>46276.0</v>
      </c>
    </row>
    <row r="745" ht="19.5" customHeight="1">
      <c r="A745" s="61"/>
      <c r="B745" s="62" t="s">
        <v>118</v>
      </c>
      <c r="C745" s="63">
        <v>1.0</v>
      </c>
      <c r="D745" s="49">
        <f>IF(B745="","",VLOOKUP(B745,Magazzino!$B$4:$D$987,2))</f>
        <v>-2</v>
      </c>
      <c r="E745" s="64" t="s">
        <v>233</v>
      </c>
      <c r="F745" s="55">
        <v>46277.0</v>
      </c>
    </row>
    <row r="746" ht="19.5" customHeight="1">
      <c r="A746" s="61"/>
      <c r="B746" s="62" t="s">
        <v>82</v>
      </c>
      <c r="C746" s="63">
        <v>1.0</v>
      </c>
      <c r="D746" s="49">
        <f>IF(B746="","",VLOOKUP(B746,Magazzino!$B$4:$D$987,2))</f>
        <v>-2</v>
      </c>
      <c r="E746" s="64" t="s">
        <v>233</v>
      </c>
      <c r="F746" s="55">
        <v>46277.0</v>
      </c>
    </row>
    <row r="747" ht="19.5" customHeight="1">
      <c r="A747" s="61"/>
      <c r="B747" s="62" t="s">
        <v>22</v>
      </c>
      <c r="C747" s="63">
        <v>1.0</v>
      </c>
      <c r="D747" s="49">
        <f>IF(B747="","",VLOOKUP(B747,Magazzino!$B$4:$D$987,2))</f>
        <v>5</v>
      </c>
      <c r="E747" s="64" t="s">
        <v>233</v>
      </c>
      <c r="F747" s="55">
        <v>46277.0</v>
      </c>
    </row>
    <row r="748" ht="19.5" customHeight="1">
      <c r="A748" s="61"/>
      <c r="B748" s="62" t="s">
        <v>47</v>
      </c>
      <c r="C748" s="63">
        <v>2.0</v>
      </c>
      <c r="D748" s="49">
        <f>IF(B748="","",VLOOKUP(B748,Magazzino!$B$4:$D$987,2))</f>
        <v>5</v>
      </c>
      <c r="E748" s="64" t="s">
        <v>64</v>
      </c>
      <c r="F748" s="55">
        <v>46279.0</v>
      </c>
    </row>
    <row r="749" ht="19.5" customHeight="1">
      <c r="A749" s="61"/>
      <c r="B749" s="62" t="s">
        <v>21</v>
      </c>
      <c r="C749" s="63">
        <v>5.0</v>
      </c>
      <c r="D749" s="49">
        <f>IF(B749="","",VLOOKUP(B749,Magazzino!$B$4:$D$987,2))</f>
        <v>75</v>
      </c>
      <c r="E749" s="64" t="s">
        <v>64</v>
      </c>
      <c r="F749" s="55">
        <v>46279.0</v>
      </c>
    </row>
    <row r="750" ht="19.5" customHeight="1">
      <c r="A750" s="61"/>
      <c r="B750" s="62" t="s">
        <v>66</v>
      </c>
      <c r="C750" s="63">
        <v>4.0</v>
      </c>
      <c r="D750" s="49">
        <f>IF(B750="","",VLOOKUP(B750,Magazzino!$B$4:$D$987,2))</f>
        <v>-2</v>
      </c>
      <c r="E750" s="64" t="s">
        <v>64</v>
      </c>
      <c r="F750" s="55">
        <v>46279.0</v>
      </c>
    </row>
    <row r="751" ht="19.5" customHeight="1">
      <c r="A751" s="61"/>
      <c r="B751" s="62" t="s">
        <v>38</v>
      </c>
      <c r="C751" s="63">
        <v>4.0</v>
      </c>
      <c r="D751" s="49">
        <f>IF(B751="","",VLOOKUP(B751,Magazzino!$B$4:$D$987,2))</f>
        <v>12</v>
      </c>
      <c r="E751" s="64" t="s">
        <v>64</v>
      </c>
      <c r="F751" s="55">
        <v>46279.0</v>
      </c>
    </row>
    <row r="752" ht="19.5" customHeight="1">
      <c r="A752" s="61"/>
      <c r="B752" s="62" t="s">
        <v>253</v>
      </c>
      <c r="C752" s="63">
        <v>2.0</v>
      </c>
      <c r="D752" s="49">
        <f>IF(B752="","",VLOOKUP(B752,Magazzino!$B$4:$D$987,2))</f>
        <v>2</v>
      </c>
      <c r="E752" s="64" t="s">
        <v>64</v>
      </c>
      <c r="F752" s="55">
        <v>46279.0</v>
      </c>
    </row>
    <row r="753" ht="19.5" customHeight="1">
      <c r="A753" s="61"/>
      <c r="B753" s="62" t="s">
        <v>22</v>
      </c>
      <c r="C753" s="63">
        <v>2.0</v>
      </c>
      <c r="D753" s="49">
        <f>IF(B753="","",VLOOKUP(B753,Magazzino!$B$4:$D$987,2))</f>
        <v>5</v>
      </c>
      <c r="E753" s="64" t="s">
        <v>64</v>
      </c>
      <c r="F753" s="55">
        <v>46280.0</v>
      </c>
    </row>
    <row r="754" ht="19.5" customHeight="1">
      <c r="A754" s="61"/>
      <c r="B754" s="62" t="s">
        <v>14</v>
      </c>
      <c r="C754" s="63">
        <v>2.0</v>
      </c>
      <c r="D754" s="49">
        <f>IF(B754="","",VLOOKUP(B754,Magazzino!$B$4:$D$987,2))</f>
        <v>18</v>
      </c>
      <c r="E754" s="64" t="s">
        <v>64</v>
      </c>
      <c r="F754" s="55">
        <v>46281.0</v>
      </c>
    </row>
    <row r="755" ht="19.5" customHeight="1">
      <c r="A755" s="61"/>
      <c r="B755" s="62" t="s">
        <v>119</v>
      </c>
      <c r="C755" s="63">
        <v>2.0</v>
      </c>
      <c r="D755" s="49">
        <f>IF(B755="","",VLOOKUP(B755,Magazzino!$B$4:$D$987,2))</f>
        <v>0</v>
      </c>
      <c r="E755" s="64" t="s">
        <v>64</v>
      </c>
      <c r="F755" s="55">
        <v>46282.0</v>
      </c>
    </row>
    <row r="756" ht="19.5" customHeight="1">
      <c r="A756" s="61"/>
      <c r="B756" s="62" t="s">
        <v>70</v>
      </c>
      <c r="C756" s="63">
        <v>2.0</v>
      </c>
      <c r="D756" s="49">
        <f>IF(B756="","",VLOOKUP(B756,Magazzino!$B$4:$D$987,2))</f>
        <v>5</v>
      </c>
      <c r="E756" s="64" t="s">
        <v>64</v>
      </c>
      <c r="F756" s="55">
        <v>46282.0</v>
      </c>
    </row>
    <row r="757" ht="19.5" customHeight="1">
      <c r="A757" s="61"/>
      <c r="B757" s="62" t="s">
        <v>80</v>
      </c>
      <c r="C757" s="63">
        <v>3.0</v>
      </c>
      <c r="D757" s="49">
        <f>IF(B757="","",VLOOKUP(B757,Magazzino!$B$4:$D$987,2))</f>
        <v>9</v>
      </c>
      <c r="E757" s="64" t="s">
        <v>64</v>
      </c>
      <c r="F757" s="55">
        <v>46282.0</v>
      </c>
    </row>
    <row r="758" ht="19.5" customHeight="1">
      <c r="A758" s="61"/>
      <c r="B758" s="62" t="s">
        <v>218</v>
      </c>
      <c r="C758" s="63">
        <v>2.0</v>
      </c>
      <c r="D758" s="49">
        <f>IF(B758="","",VLOOKUP(B758,Magazzino!$B$4:$D$987,2))</f>
        <v>0</v>
      </c>
      <c r="E758" s="64" t="s">
        <v>64</v>
      </c>
      <c r="F758" s="55">
        <v>46282.0</v>
      </c>
    </row>
    <row r="759" ht="19.5" customHeight="1">
      <c r="A759" s="61"/>
      <c r="B759" s="62" t="s">
        <v>19</v>
      </c>
      <c r="C759" s="63">
        <v>1.0</v>
      </c>
      <c r="D759" s="49">
        <f>IF(B759="","",VLOOKUP(B759,Magazzino!$B$4:$D$987,2))</f>
        <v>3</v>
      </c>
      <c r="E759" s="64" t="s">
        <v>64</v>
      </c>
      <c r="F759" s="55">
        <v>46282.0</v>
      </c>
    </row>
    <row r="760" ht="19.5" customHeight="1">
      <c r="A760" s="61"/>
      <c r="B760" s="62" t="s">
        <v>279</v>
      </c>
      <c r="C760" s="63">
        <v>1.0</v>
      </c>
      <c r="D760" s="49">
        <f>IF(B760="","",VLOOKUP(B760,Magazzino!$B$4:$D$987,2))</f>
        <v>4</v>
      </c>
      <c r="E760" s="64" t="s">
        <v>64</v>
      </c>
      <c r="F760" s="55">
        <v>46282.0</v>
      </c>
    </row>
    <row r="761" ht="19.5" customHeight="1">
      <c r="A761" s="61"/>
      <c r="B761" s="62" t="s">
        <v>279</v>
      </c>
      <c r="C761" s="63">
        <v>1.0</v>
      </c>
      <c r="D761" s="49">
        <f>IF(B761="","",VLOOKUP(B761,Magazzino!$B$4:$D$987,2))</f>
        <v>4</v>
      </c>
      <c r="E761" s="64" t="s">
        <v>129</v>
      </c>
      <c r="F761" s="55">
        <v>46283.0</v>
      </c>
    </row>
    <row r="762" ht="19.5" customHeight="1">
      <c r="A762" s="61"/>
      <c r="B762" s="62" t="s">
        <v>19</v>
      </c>
      <c r="C762" s="63">
        <v>1.0</v>
      </c>
      <c r="D762" s="49">
        <f>IF(B762="","",VLOOKUP(B762,Magazzino!$B$4:$D$987,2))</f>
        <v>3</v>
      </c>
      <c r="E762" s="64" t="s">
        <v>129</v>
      </c>
      <c r="F762" s="55">
        <v>46283.0</v>
      </c>
    </row>
    <row r="763" ht="19.5" customHeight="1">
      <c r="A763" s="61"/>
      <c r="B763" s="62" t="s">
        <v>119</v>
      </c>
      <c r="C763" s="63">
        <v>1.0</v>
      </c>
      <c r="D763" s="49">
        <f>IF(B763="","",VLOOKUP(B763,Magazzino!$B$4:$D$987,2))</f>
        <v>0</v>
      </c>
      <c r="E763" s="64" t="s">
        <v>129</v>
      </c>
      <c r="F763" s="55">
        <v>46283.0</v>
      </c>
    </row>
    <row r="764" ht="19.5" customHeight="1">
      <c r="A764" s="61"/>
      <c r="B764" s="62" t="s">
        <v>80</v>
      </c>
      <c r="C764" s="63">
        <v>1.0</v>
      </c>
      <c r="D764" s="49">
        <f>IF(B764="","",VLOOKUP(B764,Magazzino!$B$4:$D$987,2))</f>
        <v>9</v>
      </c>
      <c r="E764" s="64" t="s">
        <v>129</v>
      </c>
      <c r="F764" s="55">
        <v>46283.0</v>
      </c>
    </row>
    <row r="765" ht="19.5" customHeight="1">
      <c r="A765" s="61"/>
      <c r="B765" s="62" t="s">
        <v>60</v>
      </c>
      <c r="C765" s="63">
        <v>1.0</v>
      </c>
      <c r="D765" s="49">
        <f>IF(B765="","",VLOOKUP(B765,Magazzino!$B$4:$D$987,2))</f>
        <v>6</v>
      </c>
      <c r="E765" s="64" t="s">
        <v>129</v>
      </c>
      <c r="F765" s="55">
        <v>46283.0</v>
      </c>
    </row>
    <row r="766" ht="19.5" customHeight="1">
      <c r="A766" s="61"/>
      <c r="B766" s="62" t="s">
        <v>56</v>
      </c>
      <c r="C766" s="63">
        <v>2.0</v>
      </c>
      <c r="D766" s="49">
        <f>IF(B766="","",VLOOKUP(B766,Magazzino!$B$4:$D$987,2))</f>
        <v>-2</v>
      </c>
      <c r="E766" s="64" t="s">
        <v>64</v>
      </c>
      <c r="F766" s="55">
        <v>46283.0</v>
      </c>
    </row>
    <row r="767" ht="19.5" customHeight="1">
      <c r="A767" s="61"/>
      <c r="B767" s="62" t="s">
        <v>164</v>
      </c>
      <c r="C767" s="63">
        <v>2.0</v>
      </c>
      <c r="D767" s="49">
        <f>IF(B767="","",VLOOKUP(B767,Magazzino!$B$4:$D$987,2))</f>
        <v>-2</v>
      </c>
      <c r="E767" s="64" t="s">
        <v>64</v>
      </c>
      <c r="F767" s="55">
        <v>46283.0</v>
      </c>
    </row>
    <row r="768" ht="19.5" customHeight="1">
      <c r="A768" s="61"/>
      <c r="B768" s="62" t="s">
        <v>51</v>
      </c>
      <c r="C768" s="63">
        <v>2.0</v>
      </c>
      <c r="D768" s="49">
        <f>IF(B768="","",VLOOKUP(B768,Magazzino!$B$4:$D$987,2))</f>
        <v>-2</v>
      </c>
      <c r="E768" s="64" t="s">
        <v>64</v>
      </c>
      <c r="F768" s="55">
        <v>46283.0</v>
      </c>
    </row>
    <row r="769" ht="19.5" customHeight="1">
      <c r="A769" s="61"/>
      <c r="B769" s="62" t="s">
        <v>77</v>
      </c>
      <c r="C769" s="63">
        <v>1.0</v>
      </c>
      <c r="D769" s="49">
        <f>IF(B769="","",VLOOKUP(B769,Magazzino!$B$4:$D$987,2))</f>
        <v>42</v>
      </c>
      <c r="E769" s="64" t="s">
        <v>250</v>
      </c>
      <c r="F769" s="55">
        <v>46284.0</v>
      </c>
    </row>
    <row r="770" ht="19.5" customHeight="1">
      <c r="A770" s="61"/>
      <c r="B770" s="62" t="s">
        <v>279</v>
      </c>
      <c r="C770" s="63">
        <v>1.0</v>
      </c>
      <c r="D770" s="49">
        <f>IF(B770="","",VLOOKUP(B770,Magazzino!$B$4:$D$987,2))</f>
        <v>4</v>
      </c>
      <c r="E770" s="64" t="s">
        <v>167</v>
      </c>
      <c r="F770" s="55">
        <v>46284.0</v>
      </c>
    </row>
    <row r="771" ht="19.5" customHeight="1">
      <c r="A771" s="61"/>
      <c r="B771" s="62" t="s">
        <v>71</v>
      </c>
      <c r="C771" s="63">
        <v>1.0</v>
      </c>
      <c r="D771" s="49">
        <f>IF(B771="","",VLOOKUP(B771,Magazzino!$B$4:$D$987,2))</f>
        <v>0</v>
      </c>
      <c r="E771" s="64" t="s">
        <v>64</v>
      </c>
      <c r="F771" s="55">
        <v>46286.0</v>
      </c>
    </row>
    <row r="772" ht="19.5" customHeight="1">
      <c r="A772" s="61"/>
      <c r="B772" s="62" t="s">
        <v>28</v>
      </c>
      <c r="C772" s="63">
        <v>1.0</v>
      </c>
      <c r="D772" s="49">
        <f>IF(B772="","",VLOOKUP(B772,Magazzino!$B$4:$D$987,2))</f>
        <v>40</v>
      </c>
      <c r="E772" s="64" t="s">
        <v>194</v>
      </c>
      <c r="F772" s="55">
        <v>46286.0</v>
      </c>
    </row>
    <row r="773" ht="19.5" customHeight="1">
      <c r="A773" s="61"/>
      <c r="B773" s="62" t="s">
        <v>77</v>
      </c>
      <c r="C773" s="72"/>
      <c r="D773" s="49">
        <f>IF(B773="","",VLOOKUP(B773,Magazzino!$B$4:$D$987,2))</f>
        <v>42</v>
      </c>
      <c r="E773" s="64" t="s">
        <v>298</v>
      </c>
      <c r="F773" s="55">
        <v>46287.0</v>
      </c>
    </row>
    <row r="774" ht="19.5" customHeight="1">
      <c r="A774" s="61"/>
      <c r="B774" s="62" t="s">
        <v>28</v>
      </c>
      <c r="C774" s="63">
        <v>2.0</v>
      </c>
      <c r="D774" s="49">
        <f>IF(B774="","",VLOOKUP(B774,Magazzino!$B$4:$D$987,2))</f>
        <v>40</v>
      </c>
      <c r="E774" s="64" t="s">
        <v>64</v>
      </c>
      <c r="F774" s="55">
        <v>46287.0</v>
      </c>
    </row>
    <row r="775" ht="19.5" customHeight="1">
      <c r="A775" s="61"/>
      <c r="B775" s="62" t="s">
        <v>70</v>
      </c>
      <c r="C775" s="63">
        <v>1.0</v>
      </c>
      <c r="D775" s="49">
        <f>IF(B775="","",VLOOKUP(B775,Magazzino!$B$4:$D$987,2))</f>
        <v>5</v>
      </c>
      <c r="E775" s="64" t="s">
        <v>64</v>
      </c>
      <c r="F775" s="55">
        <v>46287.0</v>
      </c>
    </row>
    <row r="776" ht="19.5" customHeight="1">
      <c r="A776" s="61"/>
      <c r="B776" s="62" t="s">
        <v>21</v>
      </c>
      <c r="C776" s="63">
        <v>5.0</v>
      </c>
      <c r="D776" s="49">
        <f>IF(B776="","",VLOOKUP(B776,Magazzino!$B$4:$D$987,2))</f>
        <v>75</v>
      </c>
      <c r="E776" s="64" t="s">
        <v>64</v>
      </c>
      <c r="F776" s="55">
        <v>46288.0</v>
      </c>
    </row>
    <row r="777" ht="19.5" customHeight="1">
      <c r="A777" s="61"/>
      <c r="B777" s="62" t="s">
        <v>78</v>
      </c>
      <c r="C777" s="63">
        <v>1.0</v>
      </c>
      <c r="D777" s="49">
        <f>IF(B777="","",VLOOKUP(B777,Magazzino!$B$4:$D$987,2))</f>
        <v>8</v>
      </c>
      <c r="E777" s="64" t="s">
        <v>64</v>
      </c>
      <c r="F777" s="55">
        <v>46288.0</v>
      </c>
    </row>
    <row r="778" ht="19.5" customHeight="1">
      <c r="A778" s="61"/>
      <c r="B778" s="62" t="s">
        <v>119</v>
      </c>
      <c r="C778" s="63">
        <v>2.0</v>
      </c>
      <c r="D778" s="49">
        <f>IF(B778="","",VLOOKUP(B778,Magazzino!$B$4:$D$987,2))</f>
        <v>0</v>
      </c>
      <c r="E778" s="64" t="s">
        <v>64</v>
      </c>
      <c r="F778" s="55">
        <v>46288.0</v>
      </c>
    </row>
    <row r="779" ht="19.5" customHeight="1">
      <c r="A779" s="61"/>
      <c r="B779" s="62" t="s">
        <v>47</v>
      </c>
      <c r="C779" s="63">
        <v>2.0</v>
      </c>
      <c r="D779" s="49">
        <f>IF(B779="","",VLOOKUP(B779,Magazzino!$B$4:$D$987,2))</f>
        <v>5</v>
      </c>
      <c r="E779" s="64" t="s">
        <v>64</v>
      </c>
      <c r="F779" s="55">
        <v>46288.0</v>
      </c>
    </row>
    <row r="780" ht="19.5" customHeight="1">
      <c r="A780" s="61"/>
      <c r="B780" s="62" t="s">
        <v>44</v>
      </c>
      <c r="C780" s="63">
        <v>2.0</v>
      </c>
      <c r="D780" s="49">
        <f>IF(B780="","",VLOOKUP(B780,Magazzino!$B$4:$D$987,2))</f>
        <v>16</v>
      </c>
      <c r="E780" s="64" t="s">
        <v>64</v>
      </c>
      <c r="F780" s="55">
        <v>46288.0</v>
      </c>
    </row>
    <row r="781" ht="19.5" customHeight="1">
      <c r="A781" s="61"/>
      <c r="B781" s="62" t="s">
        <v>218</v>
      </c>
      <c r="C781" s="63">
        <v>2.0</v>
      </c>
      <c r="D781" s="49">
        <f>IF(B781="","",VLOOKUP(B781,Magazzino!$B$4:$D$987,2))</f>
        <v>0</v>
      </c>
      <c r="E781" s="64" t="s">
        <v>64</v>
      </c>
      <c r="F781" s="55">
        <v>46288.0</v>
      </c>
    </row>
    <row r="782" ht="19.5" customHeight="1">
      <c r="A782" s="61"/>
      <c r="B782" s="62" t="s">
        <v>249</v>
      </c>
      <c r="C782" s="63">
        <v>1.0</v>
      </c>
      <c r="D782" s="49">
        <f>IF(B782="","",VLOOKUP(B782,Magazzino!$B$4:$D$987,2))</f>
        <v>5</v>
      </c>
      <c r="E782" s="64" t="s">
        <v>129</v>
      </c>
      <c r="F782" s="55">
        <v>46288.0</v>
      </c>
    </row>
    <row r="783" ht="19.5" customHeight="1">
      <c r="A783" s="61"/>
      <c r="B783" s="62" t="s">
        <v>22</v>
      </c>
      <c r="C783" s="63">
        <v>1.0</v>
      </c>
      <c r="D783" s="49">
        <f>IF(B783="","",VLOOKUP(B783,Magazzino!$B$4:$D$987,2))</f>
        <v>5</v>
      </c>
      <c r="E783" s="64" t="s">
        <v>129</v>
      </c>
      <c r="F783" s="55">
        <v>46288.0</v>
      </c>
    </row>
    <row r="784" ht="19.5" customHeight="1">
      <c r="A784" s="61"/>
      <c r="B784" s="62" t="s">
        <v>33</v>
      </c>
      <c r="C784" s="63">
        <v>1.0</v>
      </c>
      <c r="D784" s="49">
        <f>IF(B784="","",VLOOKUP(B784,Magazzino!$B$4:$D$987,2))</f>
        <v>1</v>
      </c>
      <c r="E784" s="64" t="s">
        <v>129</v>
      </c>
      <c r="F784" s="55">
        <v>46288.0</v>
      </c>
    </row>
    <row r="785" ht="19.5" customHeight="1">
      <c r="A785" s="61"/>
      <c r="B785" s="62" t="s">
        <v>277</v>
      </c>
      <c r="C785" s="63">
        <v>1.0</v>
      </c>
      <c r="D785" s="49">
        <f>IF(B785="","",VLOOKUP(B785,Magazzino!$B$4:$D$987,2))</f>
        <v>1</v>
      </c>
      <c r="E785" s="64" t="s">
        <v>129</v>
      </c>
      <c r="F785" s="55">
        <v>46288.0</v>
      </c>
    </row>
    <row r="786" ht="19.5" customHeight="1">
      <c r="A786" s="61"/>
      <c r="B786" s="62" t="s">
        <v>40</v>
      </c>
      <c r="C786" s="63">
        <v>1.0</v>
      </c>
      <c r="D786" s="49">
        <f>IF(B786="","",VLOOKUP(B786,Magazzino!$B$4:$D$987,2))</f>
        <v>17</v>
      </c>
      <c r="E786" s="64" t="s">
        <v>129</v>
      </c>
      <c r="F786" s="55">
        <v>46288.0</v>
      </c>
    </row>
    <row r="787" ht="19.5" customHeight="1">
      <c r="A787" s="61"/>
      <c r="B787" s="62" t="s">
        <v>28</v>
      </c>
      <c r="C787" s="63">
        <v>1.0</v>
      </c>
      <c r="D787" s="49">
        <f>IF(B787="","",VLOOKUP(B787,Magazzino!$B$4:$D$987,2))</f>
        <v>40</v>
      </c>
      <c r="E787" s="64" t="s">
        <v>129</v>
      </c>
      <c r="F787" s="55">
        <v>46288.0</v>
      </c>
    </row>
    <row r="788" ht="19.5" customHeight="1">
      <c r="A788" s="61"/>
      <c r="B788" s="62" t="s">
        <v>68</v>
      </c>
      <c r="C788" s="63">
        <v>3.0</v>
      </c>
      <c r="D788" s="49">
        <f>IF(B788="","",VLOOKUP(B788,Magazzino!$B$4:$D$987,2))</f>
        <v>192</v>
      </c>
      <c r="E788" s="64" t="s">
        <v>129</v>
      </c>
      <c r="F788" s="55">
        <v>46288.0</v>
      </c>
    </row>
    <row r="789" ht="19.5" customHeight="1">
      <c r="A789" s="61"/>
      <c r="B789" s="62" t="s">
        <v>186</v>
      </c>
      <c r="C789" s="63">
        <v>1.0</v>
      </c>
      <c r="D789" s="49">
        <f>IF(B789="","",VLOOKUP(B789,Magazzino!$B$4:$D$987,2))</f>
        <v>40</v>
      </c>
      <c r="E789" s="64" t="s">
        <v>185</v>
      </c>
      <c r="F789" s="55">
        <v>46288.0</v>
      </c>
    </row>
    <row r="790" ht="19.5" customHeight="1">
      <c r="A790" s="61"/>
      <c r="B790" s="62" t="s">
        <v>77</v>
      </c>
      <c r="C790" s="63">
        <v>1.0</v>
      </c>
      <c r="D790" s="49">
        <f>IF(B790="","",VLOOKUP(B790,Magazzino!$B$4:$D$987,2))</f>
        <v>42</v>
      </c>
      <c r="E790" s="64" t="s">
        <v>250</v>
      </c>
      <c r="F790" s="55">
        <v>46290.0</v>
      </c>
    </row>
    <row r="791" ht="19.5" customHeight="1">
      <c r="A791" s="61"/>
      <c r="B791" s="62" t="s">
        <v>82</v>
      </c>
      <c r="C791" s="63">
        <v>1.0</v>
      </c>
      <c r="D791" s="49">
        <f>IF(B791="","",VLOOKUP(B791,Magazzino!$B$4:$D$987,2))</f>
        <v>-2</v>
      </c>
      <c r="E791" s="64" t="s">
        <v>299</v>
      </c>
      <c r="F791" s="55">
        <v>46290.0</v>
      </c>
    </row>
    <row r="792" ht="19.5" customHeight="1">
      <c r="A792" s="61"/>
      <c r="B792" s="62" t="s">
        <v>83</v>
      </c>
      <c r="C792" s="63">
        <v>1.0</v>
      </c>
      <c r="D792" s="49">
        <f>IF(B792="","",VLOOKUP(B792,Magazzino!$B$4:$D$987,2))</f>
        <v>10</v>
      </c>
      <c r="E792" s="64" t="s">
        <v>299</v>
      </c>
      <c r="F792" s="55">
        <v>46290.0</v>
      </c>
    </row>
    <row r="793" ht="19.5" customHeight="1">
      <c r="A793" s="61"/>
      <c r="B793" s="62" t="s">
        <v>73</v>
      </c>
      <c r="C793" s="63">
        <v>1.0</v>
      </c>
      <c r="D793" s="49">
        <f>IF(B793="","",VLOOKUP(B793,Magazzino!$B$4:$D$987,2))</f>
        <v>9</v>
      </c>
      <c r="E793" s="64" t="s">
        <v>299</v>
      </c>
      <c r="F793" s="55">
        <v>46290.0</v>
      </c>
    </row>
    <row r="794" ht="19.5" customHeight="1">
      <c r="A794" s="61"/>
      <c r="B794" s="62" t="s">
        <v>127</v>
      </c>
      <c r="C794" s="63">
        <v>1.0</v>
      </c>
      <c r="D794" s="49">
        <f>IF(B794="","",VLOOKUP(B794,Magazzino!$B$4:$D$987,2))</f>
        <v>3</v>
      </c>
      <c r="E794" s="64" t="s">
        <v>299</v>
      </c>
      <c r="F794" s="55">
        <v>46290.0</v>
      </c>
    </row>
    <row r="795" ht="19.5" customHeight="1">
      <c r="A795" s="61"/>
      <c r="B795" s="62" t="s">
        <v>117</v>
      </c>
      <c r="C795" s="63">
        <v>1.0</v>
      </c>
      <c r="D795" s="49">
        <f>IF(B795="","",VLOOKUP(B795,Magazzino!$B$4:$D$987,2))</f>
        <v>27</v>
      </c>
      <c r="E795" s="64" t="s">
        <v>299</v>
      </c>
      <c r="F795" s="55">
        <v>46290.0</v>
      </c>
    </row>
    <row r="796" ht="19.5" customHeight="1">
      <c r="A796" s="61"/>
      <c r="B796" s="62" t="s">
        <v>108</v>
      </c>
      <c r="C796" s="63">
        <v>1.0</v>
      </c>
      <c r="D796" s="49">
        <f>IF(B796="","",VLOOKUP(B796,Magazzino!$B$4:$D$987,2))</f>
        <v>7</v>
      </c>
      <c r="E796" s="64" t="s">
        <v>64</v>
      </c>
      <c r="F796" s="55">
        <v>46294.0</v>
      </c>
    </row>
    <row r="797" ht="19.5" customHeight="1">
      <c r="A797" s="61"/>
      <c r="B797" s="62" t="s">
        <v>113</v>
      </c>
      <c r="C797" s="63">
        <v>1.0</v>
      </c>
      <c r="D797" s="49">
        <f>IF(B797="","",VLOOKUP(B797,Magazzino!$B$4:$D$987,2))</f>
        <v>6</v>
      </c>
      <c r="E797" s="64" t="s">
        <v>64</v>
      </c>
      <c r="F797" s="55">
        <v>46294.0</v>
      </c>
    </row>
    <row r="798" ht="19.5" customHeight="1">
      <c r="A798" s="61"/>
      <c r="B798" s="62" t="s">
        <v>119</v>
      </c>
      <c r="C798" s="63">
        <v>1.0</v>
      </c>
      <c r="D798" s="49">
        <f>IF(B798="","",VLOOKUP(B798,Magazzino!$B$4:$D$987,2))</f>
        <v>0</v>
      </c>
      <c r="E798" s="64" t="s">
        <v>64</v>
      </c>
      <c r="F798" s="55">
        <v>46294.0</v>
      </c>
    </row>
    <row r="799" ht="19.5" customHeight="1">
      <c r="A799" s="61"/>
      <c r="B799" s="62" t="s">
        <v>56</v>
      </c>
      <c r="C799" s="63">
        <v>2.0</v>
      </c>
      <c r="D799" s="49">
        <f>IF(B799="","",VLOOKUP(B799,Magazzino!$B$4:$D$987,2))</f>
        <v>-2</v>
      </c>
      <c r="E799" s="64" t="s">
        <v>64</v>
      </c>
      <c r="F799" s="55">
        <v>46293.0</v>
      </c>
    </row>
    <row r="800" ht="19.5" customHeight="1">
      <c r="A800" s="61"/>
      <c r="B800" s="62" t="s">
        <v>164</v>
      </c>
      <c r="C800" s="63">
        <v>2.0</v>
      </c>
      <c r="D800" s="49">
        <f>IF(B800="","",VLOOKUP(B800,Magazzino!$B$4:$D$987,2))</f>
        <v>-2</v>
      </c>
      <c r="E800" s="64" t="s">
        <v>64</v>
      </c>
      <c r="F800" s="55">
        <v>46293.0</v>
      </c>
    </row>
    <row r="801" ht="19.5" customHeight="1">
      <c r="A801" s="61"/>
      <c r="B801" s="62" t="s">
        <v>51</v>
      </c>
      <c r="C801" s="63">
        <v>2.0</v>
      </c>
      <c r="D801" s="49">
        <f>IF(B801="","",VLOOKUP(B801,Magazzino!$B$4:$D$987,2))</f>
        <v>-2</v>
      </c>
      <c r="E801" s="64" t="s">
        <v>64</v>
      </c>
      <c r="F801" s="55">
        <v>46293.0</v>
      </c>
    </row>
    <row r="802" ht="19.5" customHeight="1">
      <c r="A802" s="61"/>
      <c r="B802" s="62" t="s">
        <v>99</v>
      </c>
      <c r="C802" s="63">
        <v>1.0</v>
      </c>
      <c r="D802" s="49">
        <f>IF(B802="","",VLOOKUP(B802,Magazzino!$B$4:$D$987,2))</f>
        <v>-2</v>
      </c>
      <c r="E802" s="64" t="s">
        <v>64</v>
      </c>
      <c r="F802" s="55">
        <v>46293.0</v>
      </c>
    </row>
    <row r="803" ht="19.5" customHeight="1">
      <c r="A803" s="61"/>
      <c r="B803" s="62" t="s">
        <v>45</v>
      </c>
      <c r="C803" s="63">
        <v>2.0</v>
      </c>
      <c r="D803" s="49">
        <f>IF(B803="","",VLOOKUP(B803,Magazzino!$B$4:$D$987,2))</f>
        <v>102</v>
      </c>
      <c r="E803" s="64" t="s">
        <v>233</v>
      </c>
      <c r="F803" s="55">
        <v>46293.0</v>
      </c>
    </row>
    <row r="804" ht="19.5" customHeight="1">
      <c r="A804" s="61"/>
      <c r="B804" s="62" t="s">
        <v>32</v>
      </c>
      <c r="C804" s="63">
        <v>1.0</v>
      </c>
      <c r="D804" s="49">
        <f>IF(B804="","",VLOOKUP(B804,Magazzino!$B$4:$D$987,2))</f>
        <v>-2</v>
      </c>
      <c r="E804" s="64" t="s">
        <v>233</v>
      </c>
      <c r="F804" s="55">
        <v>46293.0</v>
      </c>
    </row>
    <row r="805" ht="19.5" customHeight="1">
      <c r="A805" s="61"/>
      <c r="B805" s="62" t="s">
        <v>19</v>
      </c>
      <c r="C805" s="63">
        <v>2.0</v>
      </c>
      <c r="D805" s="49">
        <f>IF(B805="","",VLOOKUP(B805,Magazzino!$B$4:$D$987,2))</f>
        <v>3</v>
      </c>
      <c r="E805" s="64" t="s">
        <v>233</v>
      </c>
      <c r="F805" s="55">
        <v>46293.0</v>
      </c>
    </row>
    <row r="806" ht="19.5" customHeight="1">
      <c r="A806" s="61"/>
      <c r="B806" s="62" t="s">
        <v>141</v>
      </c>
      <c r="C806" s="63">
        <v>1.0</v>
      </c>
      <c r="D806" s="49">
        <f>IF(B806="","",VLOOKUP(B806,Magazzino!$B$4:$D$987,2))</f>
        <v>18</v>
      </c>
      <c r="E806" s="64" t="s">
        <v>233</v>
      </c>
      <c r="F806" s="55">
        <v>46293.0</v>
      </c>
    </row>
    <row r="807" ht="19.5" customHeight="1">
      <c r="A807" s="61"/>
      <c r="B807" s="62" t="s">
        <v>60</v>
      </c>
      <c r="C807" s="63">
        <v>1.0</v>
      </c>
      <c r="D807" s="49">
        <f>IF(B807="","",VLOOKUP(B807,Magazzino!$B$4:$D$987,2))</f>
        <v>6</v>
      </c>
      <c r="E807" s="64" t="s">
        <v>233</v>
      </c>
      <c r="F807" s="55">
        <v>46293.0</v>
      </c>
    </row>
    <row r="808" ht="19.5" customHeight="1">
      <c r="A808" s="61"/>
      <c r="B808" s="62" t="s">
        <v>22</v>
      </c>
      <c r="C808" s="63">
        <v>2.0</v>
      </c>
      <c r="D808" s="49">
        <f>IF(B808="","",VLOOKUP(B808,Magazzino!$B$4:$D$987,2))</f>
        <v>5</v>
      </c>
      <c r="E808" s="64" t="s">
        <v>233</v>
      </c>
      <c r="F808" s="55">
        <v>46293.0</v>
      </c>
    </row>
    <row r="809" ht="19.5" customHeight="1">
      <c r="A809" s="61"/>
      <c r="B809" s="62" t="s">
        <v>118</v>
      </c>
      <c r="C809" s="63">
        <v>1.0</v>
      </c>
      <c r="D809" s="49">
        <f>IF(B809="","",VLOOKUP(B809,Magazzino!$B$4:$D$987,2))</f>
        <v>-2</v>
      </c>
      <c r="E809" s="64" t="s">
        <v>233</v>
      </c>
      <c r="F809" s="55">
        <v>46293.0</v>
      </c>
    </row>
    <row r="810" ht="19.5" customHeight="1">
      <c r="A810" s="61"/>
      <c r="B810" s="62" t="s">
        <v>134</v>
      </c>
      <c r="C810" s="63">
        <v>1.0</v>
      </c>
      <c r="D810" s="49">
        <f>IF(B810="","",VLOOKUP(B810,Magazzino!$B$4:$D$987,2))</f>
        <v>30</v>
      </c>
      <c r="E810" s="64" t="s">
        <v>233</v>
      </c>
      <c r="F810" s="55">
        <v>46293.0</v>
      </c>
    </row>
    <row r="811" ht="19.5" customHeight="1">
      <c r="A811" s="61"/>
      <c r="B811" s="62" t="s">
        <v>130</v>
      </c>
      <c r="C811" s="63">
        <v>1.0</v>
      </c>
      <c r="D811" s="49">
        <f>IF(B811="","",VLOOKUP(B811,Magazzino!$B$4:$D$987,2))</f>
        <v>-2</v>
      </c>
      <c r="E811" s="64" t="s">
        <v>233</v>
      </c>
      <c r="F811" s="55">
        <v>46293.0</v>
      </c>
    </row>
    <row r="812" ht="19.5" customHeight="1">
      <c r="A812" s="61"/>
      <c r="B812" s="62" t="s">
        <v>112</v>
      </c>
      <c r="C812" s="63">
        <v>1.0</v>
      </c>
      <c r="D812" s="49">
        <f>IF(B812="","",VLOOKUP(B812,Magazzino!$B$4:$D$987,2))</f>
        <v>1</v>
      </c>
      <c r="E812" s="64" t="s">
        <v>233</v>
      </c>
      <c r="F812" s="55">
        <v>46293.0</v>
      </c>
    </row>
    <row r="813" ht="19.5" customHeight="1">
      <c r="A813" s="61"/>
      <c r="B813" s="62" t="s">
        <v>80</v>
      </c>
      <c r="C813" s="63">
        <v>1.0</v>
      </c>
      <c r="D813" s="49">
        <f>IF(B813="","",VLOOKUP(B813,Magazzino!$B$4:$D$987,2))</f>
        <v>9</v>
      </c>
      <c r="E813" s="64" t="s">
        <v>233</v>
      </c>
      <c r="F813" s="55">
        <v>46293.0</v>
      </c>
    </row>
    <row r="814" ht="19.5" customHeight="1">
      <c r="A814" s="61"/>
      <c r="B814" s="62" t="s">
        <v>127</v>
      </c>
      <c r="C814" s="63">
        <v>1.0</v>
      </c>
      <c r="D814" s="49">
        <f>IF(B814="","",VLOOKUP(B814,Magazzino!$B$4:$D$987,2))</f>
        <v>3</v>
      </c>
      <c r="E814" s="64" t="s">
        <v>300</v>
      </c>
      <c r="F814" s="55">
        <v>46293.0</v>
      </c>
    </row>
    <row r="815" ht="19.5" customHeight="1">
      <c r="A815" s="61"/>
      <c r="B815" s="62" t="s">
        <v>49</v>
      </c>
      <c r="C815" s="63">
        <v>1.0</v>
      </c>
      <c r="D815" s="49">
        <f>IF(B815="","",VLOOKUP(B815,Magazzino!$B$4:$D$987,2))</f>
        <v>-2</v>
      </c>
      <c r="E815" s="64" t="s">
        <v>301</v>
      </c>
      <c r="F815" s="55">
        <v>46293.0</v>
      </c>
    </row>
    <row r="816" ht="19.5" customHeight="1">
      <c r="A816" s="61"/>
      <c r="B816" s="62" t="s">
        <v>28</v>
      </c>
      <c r="C816" s="63">
        <v>2.0</v>
      </c>
      <c r="D816" s="49">
        <f>IF(B816="","",VLOOKUP(B816,Magazzino!$B$4:$D$987,2))</f>
        <v>40</v>
      </c>
      <c r="E816" s="64" t="s">
        <v>64</v>
      </c>
      <c r="F816" s="55">
        <v>46294.0</v>
      </c>
    </row>
    <row r="817" ht="19.5" customHeight="1">
      <c r="A817" s="61"/>
      <c r="B817" s="62" t="s">
        <v>47</v>
      </c>
      <c r="C817" s="63">
        <v>2.0</v>
      </c>
      <c r="D817" s="49">
        <f>IF(B817="","",VLOOKUP(B817,Magazzino!$B$4:$D$987,2))</f>
        <v>5</v>
      </c>
      <c r="E817" s="64" t="s">
        <v>64</v>
      </c>
      <c r="F817" s="55">
        <v>46294.0</v>
      </c>
    </row>
    <row r="818" ht="19.5" customHeight="1">
      <c r="A818" s="61"/>
      <c r="B818" s="62" t="s">
        <v>276</v>
      </c>
      <c r="C818" s="63">
        <v>2.0</v>
      </c>
      <c r="D818" s="49">
        <f>IF(B818="","",VLOOKUP(B818,Magazzino!$B$4:$D$987,2))</f>
        <v>9</v>
      </c>
      <c r="E818" s="64" t="s">
        <v>64</v>
      </c>
      <c r="F818" s="55">
        <v>46294.0</v>
      </c>
    </row>
    <row r="819" ht="19.5" customHeight="1">
      <c r="A819" s="61"/>
      <c r="B819" s="62" t="s">
        <v>173</v>
      </c>
      <c r="C819" s="63">
        <v>5.0</v>
      </c>
      <c r="D819" s="49">
        <f>IF(B819="","",VLOOKUP(B819,Magazzino!$B$4:$D$987,2))</f>
        <v>-5</v>
      </c>
      <c r="E819" s="64" t="s">
        <v>111</v>
      </c>
      <c r="F819" s="55">
        <v>46294.0</v>
      </c>
    </row>
    <row r="820" ht="19.5" customHeight="1">
      <c r="A820" s="61"/>
      <c r="B820" s="62" t="s">
        <v>32</v>
      </c>
      <c r="C820" s="63">
        <v>1.0</v>
      </c>
      <c r="D820" s="49">
        <f>IF(B820="","",VLOOKUP(B820,Magazzino!$B$4:$D$987,2))</f>
        <v>-2</v>
      </c>
      <c r="E820" s="64" t="s">
        <v>64</v>
      </c>
      <c r="F820" s="55">
        <v>46295.0</v>
      </c>
    </row>
    <row r="821" ht="19.5" customHeight="1">
      <c r="A821" s="61"/>
      <c r="B821" s="62" t="s">
        <v>28</v>
      </c>
      <c r="C821" s="63">
        <v>1.0</v>
      </c>
      <c r="D821" s="49">
        <f>IF(B821="","",VLOOKUP(B821,Magazzino!$B$4:$D$987,2))</f>
        <v>40</v>
      </c>
      <c r="E821" s="64" t="s">
        <v>214</v>
      </c>
      <c r="F821" s="55">
        <v>46295.0</v>
      </c>
    </row>
    <row r="822" ht="19.5" customHeight="1">
      <c r="A822" s="61"/>
      <c r="B822" s="62" t="s">
        <v>80</v>
      </c>
      <c r="C822" s="63">
        <v>2.0</v>
      </c>
      <c r="D822" s="49">
        <f>IF(B822="","",VLOOKUP(B822,Magazzino!$B$4:$D$987,2))</f>
        <v>9</v>
      </c>
      <c r="E822" s="64" t="s">
        <v>64</v>
      </c>
      <c r="F822" s="55">
        <v>46296.0</v>
      </c>
    </row>
    <row r="823" ht="19.5" customHeight="1">
      <c r="A823" s="61"/>
      <c r="B823" s="62" t="s">
        <v>44</v>
      </c>
      <c r="C823" s="63">
        <v>2.0</v>
      </c>
      <c r="D823" s="49">
        <f>IF(B823="","",VLOOKUP(B823,Magazzino!$B$4:$D$987,2))</f>
        <v>16</v>
      </c>
      <c r="E823" s="64" t="s">
        <v>64</v>
      </c>
      <c r="F823" s="55">
        <v>46296.0</v>
      </c>
    </row>
    <row r="824" ht="19.5" customHeight="1">
      <c r="A824" s="61"/>
      <c r="B824" s="62" t="s">
        <v>108</v>
      </c>
      <c r="C824" s="63">
        <v>2.0</v>
      </c>
      <c r="D824" s="49">
        <f>IF(B824="","",VLOOKUP(B824,Magazzino!$B$4:$D$987,2))</f>
        <v>7</v>
      </c>
      <c r="E824" s="64" t="s">
        <v>64</v>
      </c>
      <c r="F824" s="55">
        <v>46296.0</v>
      </c>
    </row>
    <row r="825" ht="19.5" customHeight="1">
      <c r="A825" s="61"/>
      <c r="B825" s="62" t="s">
        <v>73</v>
      </c>
      <c r="C825" s="63">
        <v>2.0</v>
      </c>
      <c r="D825" s="49">
        <f>IF(B825="","",VLOOKUP(B825,Magazzino!$B$4:$D$987,2))</f>
        <v>9</v>
      </c>
      <c r="E825" s="64" t="s">
        <v>64</v>
      </c>
      <c r="F825" s="55">
        <v>46296.0</v>
      </c>
    </row>
    <row r="826" ht="19.5" customHeight="1">
      <c r="A826" s="61"/>
      <c r="B826" s="62" t="s">
        <v>134</v>
      </c>
      <c r="C826" s="63">
        <v>1.0</v>
      </c>
      <c r="D826" s="49">
        <f>IF(B826="","",VLOOKUP(B826,Magazzino!$B$4:$D$987,2))</f>
        <v>30</v>
      </c>
      <c r="E826" s="64" t="s">
        <v>64</v>
      </c>
      <c r="F826" s="55">
        <v>46296.0</v>
      </c>
    </row>
    <row r="827" ht="19.5" customHeight="1">
      <c r="A827" s="61"/>
      <c r="B827" s="62" t="s">
        <v>52</v>
      </c>
      <c r="C827" s="63">
        <v>1.0</v>
      </c>
      <c r="D827" s="49">
        <f>IF(B827="","",VLOOKUP(B827,Magazzino!$B$4:$D$987,2))</f>
        <v>18</v>
      </c>
      <c r="E827" s="64" t="s">
        <v>64</v>
      </c>
      <c r="F827" s="55">
        <v>46296.0</v>
      </c>
    </row>
    <row r="828" ht="19.5" customHeight="1">
      <c r="A828" s="61"/>
      <c r="B828" s="62" t="s">
        <v>33</v>
      </c>
      <c r="C828" s="63">
        <v>1.0</v>
      </c>
      <c r="D828" s="49">
        <f>IF(B828="","",VLOOKUP(B828,Magazzino!$B$4:$D$987,2))</f>
        <v>1</v>
      </c>
      <c r="E828" s="64" t="s">
        <v>64</v>
      </c>
      <c r="F828" s="55">
        <v>46296.0</v>
      </c>
    </row>
    <row r="829" ht="19.5" customHeight="1">
      <c r="A829" s="61"/>
      <c r="B829" s="62" t="s">
        <v>279</v>
      </c>
      <c r="C829" s="63">
        <v>1.0</v>
      </c>
      <c r="D829" s="49">
        <f>IF(B829="","",VLOOKUP(B829,Magazzino!$B$4:$D$987,2))</f>
        <v>4</v>
      </c>
      <c r="E829" s="64" t="s">
        <v>250</v>
      </c>
      <c r="F829" s="55">
        <v>46296.0</v>
      </c>
    </row>
    <row r="830" ht="19.5" customHeight="1">
      <c r="A830" s="61"/>
      <c r="B830" s="62" t="s">
        <v>60</v>
      </c>
      <c r="C830" s="63">
        <v>1.0</v>
      </c>
      <c r="D830" s="49">
        <f>IF(B830="","",VLOOKUP(B830,Magazzino!$B$4:$D$987,2))</f>
        <v>6</v>
      </c>
      <c r="E830" s="64" t="s">
        <v>250</v>
      </c>
      <c r="F830" s="55">
        <v>46296.0</v>
      </c>
    </row>
    <row r="831" ht="19.5" customHeight="1">
      <c r="A831" s="61"/>
      <c r="B831" s="62" t="s">
        <v>119</v>
      </c>
      <c r="C831" s="63">
        <v>2.0</v>
      </c>
      <c r="D831" s="49">
        <f>IF(B831="","",VLOOKUP(B831,Magazzino!$B$4:$D$987,2))</f>
        <v>0</v>
      </c>
      <c r="E831" s="64" t="s">
        <v>64</v>
      </c>
      <c r="F831" s="55">
        <v>46300.0</v>
      </c>
    </row>
    <row r="832" ht="19.5" customHeight="1">
      <c r="A832" s="61"/>
      <c r="B832" s="62" t="s">
        <v>47</v>
      </c>
      <c r="C832" s="63">
        <v>2.0</v>
      </c>
      <c r="D832" s="49">
        <f>IF(B832="","",VLOOKUP(B832,Magazzino!$B$4:$D$987,2))</f>
        <v>5</v>
      </c>
      <c r="E832" s="64" t="s">
        <v>64</v>
      </c>
      <c r="F832" s="55">
        <v>46300.0</v>
      </c>
    </row>
    <row r="833" ht="19.5" customHeight="1">
      <c r="A833" s="61"/>
      <c r="B833" s="62" t="s">
        <v>44</v>
      </c>
      <c r="C833" s="63">
        <v>2.0</v>
      </c>
      <c r="D833" s="49">
        <f>IF(B833="","",VLOOKUP(B833,Magazzino!$B$4:$D$987,2))</f>
        <v>16</v>
      </c>
      <c r="E833" s="64" t="s">
        <v>64</v>
      </c>
      <c r="F833" s="55">
        <v>46300.0</v>
      </c>
    </row>
    <row r="834" ht="19.5" customHeight="1">
      <c r="A834" s="61"/>
      <c r="B834" s="62" t="s">
        <v>99</v>
      </c>
      <c r="C834" s="63">
        <v>4.0</v>
      </c>
      <c r="D834" s="49">
        <f>IF(B834="","",VLOOKUP(B834,Magazzino!$B$4:$D$987,2))</f>
        <v>-2</v>
      </c>
      <c r="E834" s="64" t="s">
        <v>64</v>
      </c>
      <c r="F834" s="55">
        <v>46300.0</v>
      </c>
    </row>
    <row r="835" ht="19.5" customHeight="1">
      <c r="A835" s="61"/>
      <c r="B835" s="62" t="s">
        <v>92</v>
      </c>
      <c r="C835" s="63">
        <v>4.0</v>
      </c>
      <c r="D835" s="49">
        <f>IF(B835="","",VLOOKUP(B835,Magazzino!$B$4:$D$987,2))</f>
        <v>-2</v>
      </c>
      <c r="E835" s="64" t="s">
        <v>64</v>
      </c>
      <c r="F835" s="55">
        <v>46300.0</v>
      </c>
    </row>
    <row r="836" ht="19.5" customHeight="1">
      <c r="A836" s="61"/>
      <c r="B836" s="62" t="s">
        <v>119</v>
      </c>
      <c r="C836" s="63">
        <v>1.0</v>
      </c>
      <c r="D836" s="49">
        <f>IF(B836="","",VLOOKUP(B836,Magazzino!$B$4:$D$987,2))</f>
        <v>0</v>
      </c>
      <c r="E836" s="64" t="s">
        <v>233</v>
      </c>
      <c r="F836" s="55">
        <v>46300.0</v>
      </c>
    </row>
    <row r="837" ht="19.5" customHeight="1">
      <c r="A837" s="61"/>
      <c r="B837" s="62" t="s">
        <v>279</v>
      </c>
      <c r="C837" s="63">
        <v>1.0</v>
      </c>
      <c r="D837" s="49">
        <f>IF(B837="","",VLOOKUP(B837,Magazzino!$B$4:$D$987,2))</f>
        <v>4</v>
      </c>
      <c r="E837" s="64" t="s">
        <v>233</v>
      </c>
      <c r="F837" s="55">
        <v>46300.0</v>
      </c>
    </row>
    <row r="838" ht="19.5" customHeight="1">
      <c r="A838" s="61"/>
      <c r="B838" s="62" t="s">
        <v>60</v>
      </c>
      <c r="C838" s="63">
        <v>1.0</v>
      </c>
      <c r="D838" s="49">
        <f>IF(B838="","",VLOOKUP(B838,Magazzino!$B$4:$D$987,2))</f>
        <v>6</v>
      </c>
      <c r="E838" s="64" t="s">
        <v>233</v>
      </c>
      <c r="F838" s="55">
        <v>46300.0</v>
      </c>
    </row>
    <row r="839" ht="19.5" customHeight="1">
      <c r="A839" s="61"/>
      <c r="B839" s="62" t="s">
        <v>68</v>
      </c>
      <c r="C839" s="63">
        <v>3.0</v>
      </c>
      <c r="D839" s="49">
        <f>IF(B839="","",VLOOKUP(B839,Magazzino!$B$4:$D$987,2))</f>
        <v>192</v>
      </c>
      <c r="E839" s="64" t="s">
        <v>233</v>
      </c>
      <c r="F839" s="55">
        <v>46300.0</v>
      </c>
    </row>
    <row r="840" ht="19.5" customHeight="1">
      <c r="A840" s="61"/>
      <c r="B840" s="62" t="s">
        <v>227</v>
      </c>
      <c r="C840" s="63">
        <v>1.0</v>
      </c>
      <c r="D840" s="49">
        <f>IF(B840="","",VLOOKUP(B840,Magazzino!$B$4:$D$987,2))</f>
        <v>4</v>
      </c>
      <c r="E840" s="64" t="s">
        <v>233</v>
      </c>
      <c r="F840" s="55">
        <v>46300.0</v>
      </c>
    </row>
    <row r="841" ht="19.5" customHeight="1">
      <c r="A841" s="61"/>
      <c r="B841" s="62" t="s">
        <v>45</v>
      </c>
      <c r="C841" s="63">
        <v>3.0</v>
      </c>
      <c r="D841" s="49">
        <f>IF(B841="","",VLOOKUP(B841,Magazzino!$B$4:$D$987,2))</f>
        <v>102</v>
      </c>
      <c r="E841" s="64" t="s">
        <v>233</v>
      </c>
      <c r="F841" s="55">
        <v>46300.0</v>
      </c>
    </row>
    <row r="842" ht="19.5" customHeight="1">
      <c r="A842" s="61"/>
      <c r="B842" s="62" t="s">
        <v>28</v>
      </c>
      <c r="C842" s="63">
        <v>2.0</v>
      </c>
      <c r="D842" s="49">
        <f>IF(B842="","",VLOOKUP(B842,Magazzino!$B$4:$D$987,2))</f>
        <v>40</v>
      </c>
      <c r="E842" s="64" t="s">
        <v>233</v>
      </c>
      <c r="F842" s="55">
        <v>46300.0</v>
      </c>
    </row>
    <row r="843" ht="19.5" customHeight="1">
      <c r="A843" s="61"/>
      <c r="B843" s="62" t="s">
        <v>153</v>
      </c>
      <c r="C843" s="63">
        <v>1.0</v>
      </c>
      <c r="D843" s="49">
        <f>IF(B843="","",VLOOKUP(B843,Magazzino!$B$4:$D$987,2))</f>
        <v>8</v>
      </c>
      <c r="E843" s="64" t="s">
        <v>194</v>
      </c>
      <c r="F843" s="55">
        <v>46300.0</v>
      </c>
    </row>
    <row r="844" ht="19.5" customHeight="1">
      <c r="A844" s="61"/>
      <c r="B844" s="62" t="s">
        <v>179</v>
      </c>
      <c r="C844" s="63">
        <v>3.0</v>
      </c>
      <c r="D844" s="49">
        <f>IF(B844="","",VLOOKUP(B844,Magazzino!$B$4:$D$987,2))</f>
        <v>0</v>
      </c>
      <c r="E844" s="64" t="s">
        <v>233</v>
      </c>
      <c r="F844" s="55">
        <v>46310.0</v>
      </c>
    </row>
    <row r="845" ht="19.5" customHeight="1">
      <c r="A845" s="61"/>
      <c r="B845" s="62" t="s">
        <v>68</v>
      </c>
      <c r="C845" s="63">
        <v>2.0</v>
      </c>
      <c r="D845" s="49">
        <f>IF(B845="","",VLOOKUP(B845,Magazzino!$B$4:$D$987,2))</f>
        <v>192</v>
      </c>
      <c r="E845" s="64" t="s">
        <v>233</v>
      </c>
      <c r="F845" s="55">
        <v>46310.0</v>
      </c>
    </row>
    <row r="846" ht="19.5" customHeight="1">
      <c r="A846" s="61"/>
      <c r="B846" s="62" t="s">
        <v>15</v>
      </c>
      <c r="C846" s="63">
        <v>4.0</v>
      </c>
      <c r="D846" s="49">
        <f>IF(B846="","",VLOOKUP(B846,Magazzino!$B$4:$D$987,2))</f>
        <v>-2</v>
      </c>
      <c r="E846" s="64" t="s">
        <v>233</v>
      </c>
      <c r="F846" s="55">
        <v>46310.0</v>
      </c>
    </row>
    <row r="847" ht="19.5" customHeight="1">
      <c r="A847" s="61"/>
      <c r="B847" s="62" t="s">
        <v>28</v>
      </c>
      <c r="C847" s="63">
        <v>2.0</v>
      </c>
      <c r="D847" s="49">
        <f>IF(B847="","",VLOOKUP(B847,Magazzino!$B$4:$D$987,2))</f>
        <v>40</v>
      </c>
      <c r="E847" s="64" t="s">
        <v>233</v>
      </c>
      <c r="F847" s="55">
        <v>46310.0</v>
      </c>
    </row>
    <row r="848" ht="19.5" customHeight="1">
      <c r="A848" s="61"/>
      <c r="B848" s="62" t="s">
        <v>22</v>
      </c>
      <c r="C848" s="63">
        <v>1.0</v>
      </c>
      <c r="D848" s="49">
        <f>IF(B848="","",VLOOKUP(B848,Magazzino!$B$4:$D$987,2))</f>
        <v>5</v>
      </c>
      <c r="E848" s="64" t="s">
        <v>233</v>
      </c>
      <c r="F848" s="55">
        <v>46310.0</v>
      </c>
    </row>
    <row r="849" ht="19.5" customHeight="1">
      <c r="A849" s="61"/>
      <c r="B849" s="62" t="s">
        <v>19</v>
      </c>
      <c r="C849" s="63">
        <v>1.0</v>
      </c>
      <c r="D849" s="49">
        <f>IF(B849="","",VLOOKUP(B849,Magazzino!$B$4:$D$987,2))</f>
        <v>3</v>
      </c>
      <c r="E849" s="64" t="s">
        <v>233</v>
      </c>
      <c r="F849" s="55">
        <v>46310.0</v>
      </c>
    </row>
    <row r="850" ht="19.5" customHeight="1">
      <c r="A850" s="61"/>
      <c r="B850" s="62" t="s">
        <v>153</v>
      </c>
      <c r="C850" s="63">
        <v>1.0</v>
      </c>
      <c r="D850" s="49">
        <f>IF(B850="","",VLOOKUP(B850,Magazzino!$B$4:$D$987,2))</f>
        <v>8</v>
      </c>
      <c r="E850" s="64" t="s">
        <v>233</v>
      </c>
      <c r="F850" s="55">
        <v>46310.0</v>
      </c>
    </row>
    <row r="851" ht="19.5" customHeight="1">
      <c r="A851" s="61"/>
      <c r="B851" s="62" t="s">
        <v>108</v>
      </c>
      <c r="C851" s="63">
        <v>2.0</v>
      </c>
      <c r="D851" s="49">
        <f>IF(B851="","",VLOOKUP(B851,Magazzino!$B$4:$D$987,2))</f>
        <v>7</v>
      </c>
      <c r="E851" s="64" t="s">
        <v>64</v>
      </c>
      <c r="F851" s="55">
        <v>46310.0</v>
      </c>
    </row>
    <row r="852" ht="19.5" customHeight="1">
      <c r="A852" s="61"/>
      <c r="B852" s="62" t="s">
        <v>28</v>
      </c>
      <c r="C852" s="63">
        <v>1.0</v>
      </c>
      <c r="D852" s="49">
        <f>IF(B852="","",VLOOKUP(B852,Magazzino!$B$4:$D$987,2))</f>
        <v>40</v>
      </c>
      <c r="E852" s="64" t="s">
        <v>302</v>
      </c>
      <c r="F852" s="55">
        <v>46310.0</v>
      </c>
    </row>
    <row r="853" ht="19.5" customHeight="1">
      <c r="A853" s="61"/>
      <c r="B853" s="62" t="s">
        <v>32</v>
      </c>
      <c r="C853" s="63">
        <v>1.0</v>
      </c>
      <c r="D853" s="49">
        <f>IF(B853="","",VLOOKUP(B853,Magazzino!$B$4:$D$987,2))</f>
        <v>-2</v>
      </c>
      <c r="E853" s="64" t="s">
        <v>64</v>
      </c>
      <c r="F853" s="55">
        <v>46310.0</v>
      </c>
    </row>
    <row r="854" ht="19.5" customHeight="1">
      <c r="A854" s="61"/>
      <c r="B854" s="62" t="s">
        <v>38</v>
      </c>
      <c r="C854" s="63">
        <v>4.0</v>
      </c>
      <c r="D854" s="49">
        <f>IF(B854="","",VLOOKUP(B854,Magazzino!$B$4:$D$987,2))</f>
        <v>12</v>
      </c>
      <c r="E854" s="64" t="s">
        <v>64</v>
      </c>
      <c r="F854" s="55">
        <v>46310.0</v>
      </c>
    </row>
    <row r="855" ht="19.5" customHeight="1">
      <c r="A855" s="61"/>
      <c r="B855" s="62" t="s">
        <v>119</v>
      </c>
      <c r="C855" s="63">
        <v>2.0</v>
      </c>
      <c r="D855" s="49">
        <f>IF(B855="","",VLOOKUP(B855,Magazzino!$B$4:$D$987,2))</f>
        <v>0</v>
      </c>
      <c r="E855" s="64" t="s">
        <v>64</v>
      </c>
      <c r="F855" s="55">
        <v>46310.0</v>
      </c>
    </row>
    <row r="856" ht="19.5" customHeight="1">
      <c r="A856" s="61"/>
      <c r="B856" s="62" t="s">
        <v>80</v>
      </c>
      <c r="C856" s="63">
        <v>2.0</v>
      </c>
      <c r="D856" s="49">
        <f>IF(B856="","",VLOOKUP(B856,Magazzino!$B$4:$D$987,2))</f>
        <v>9</v>
      </c>
      <c r="E856" s="64" t="s">
        <v>64</v>
      </c>
      <c r="F856" s="55">
        <v>46310.0</v>
      </c>
    </row>
    <row r="857" ht="19.5" customHeight="1">
      <c r="A857" s="61"/>
      <c r="B857" s="62" t="s">
        <v>70</v>
      </c>
      <c r="C857" s="63">
        <v>2.0</v>
      </c>
      <c r="D857" s="49">
        <f>IF(B857="","",VLOOKUP(B857,Magazzino!$B$4:$D$987,2))</f>
        <v>5</v>
      </c>
      <c r="E857" s="64" t="s">
        <v>64</v>
      </c>
      <c r="F857" s="55">
        <v>46310.0</v>
      </c>
    </row>
    <row r="858" ht="19.5" customHeight="1">
      <c r="A858" s="61"/>
      <c r="B858" s="62" t="s">
        <v>56</v>
      </c>
      <c r="C858" s="63">
        <v>2.0</v>
      </c>
      <c r="D858" s="49">
        <f>IF(B858="","",VLOOKUP(B858,Magazzino!$B$4:$D$987,2))</f>
        <v>-2</v>
      </c>
      <c r="E858" s="64" t="s">
        <v>64</v>
      </c>
      <c r="F858" s="55">
        <v>46310.0</v>
      </c>
    </row>
    <row r="859" ht="19.5" customHeight="1">
      <c r="A859" s="61"/>
      <c r="B859" s="62" t="s">
        <v>164</v>
      </c>
      <c r="C859" s="63">
        <v>2.0</v>
      </c>
      <c r="D859" s="49">
        <f>IF(B859="","",VLOOKUP(B859,Magazzino!$B$4:$D$987,2))</f>
        <v>-2</v>
      </c>
      <c r="E859" s="64" t="s">
        <v>64</v>
      </c>
      <c r="F859" s="55">
        <v>46310.0</v>
      </c>
    </row>
    <row r="860" ht="19.5" customHeight="1">
      <c r="A860" s="61"/>
      <c r="B860" s="62" t="s">
        <v>51</v>
      </c>
      <c r="C860" s="63">
        <v>2.0</v>
      </c>
      <c r="D860" s="49">
        <f>IF(B860="","",VLOOKUP(B860,Magazzino!$B$4:$D$987,2))</f>
        <v>-2</v>
      </c>
      <c r="E860" s="64" t="s">
        <v>64</v>
      </c>
      <c r="F860" s="55">
        <v>46310.0</v>
      </c>
    </row>
    <row r="861" ht="19.5" customHeight="1">
      <c r="A861" s="61"/>
      <c r="B861" s="62" t="s">
        <v>222</v>
      </c>
      <c r="C861" s="63">
        <v>1.0</v>
      </c>
      <c r="D861" s="49">
        <f>IF(B861="","",VLOOKUP(B861,Magazzino!$B$4:$D$987,2))</f>
        <v>1</v>
      </c>
      <c r="E861" s="64" t="s">
        <v>303</v>
      </c>
      <c r="F861" s="55">
        <v>46310.0</v>
      </c>
    </row>
    <row r="862" ht="19.5" customHeight="1">
      <c r="A862" s="61"/>
      <c r="B862" s="62" t="s">
        <v>80</v>
      </c>
      <c r="C862" s="63">
        <v>1.0</v>
      </c>
      <c r="D862" s="49">
        <f>IF(B862="","",VLOOKUP(B862,Magazzino!$B$4:$D$987,2))</f>
        <v>9</v>
      </c>
      <c r="E862" s="64" t="s">
        <v>129</v>
      </c>
      <c r="F862" s="55">
        <v>46310.0</v>
      </c>
    </row>
    <row r="863" ht="19.5" customHeight="1">
      <c r="A863" s="61"/>
      <c r="B863" s="62" t="s">
        <v>279</v>
      </c>
      <c r="C863" s="63">
        <v>1.0</v>
      </c>
      <c r="D863" s="49">
        <f>IF(B863="","",VLOOKUP(B863,Magazzino!$B$4:$D$987,2))</f>
        <v>4</v>
      </c>
      <c r="E863" s="64" t="s">
        <v>129</v>
      </c>
      <c r="F863" s="55">
        <v>46310.0</v>
      </c>
    </row>
    <row r="864" ht="19.5" customHeight="1">
      <c r="A864" s="61"/>
      <c r="B864" s="62" t="s">
        <v>82</v>
      </c>
      <c r="C864" s="63">
        <v>1.0</v>
      </c>
      <c r="D864" s="49">
        <f>IF(B864="","",VLOOKUP(B864,Magazzino!$B$4:$D$987,2))</f>
        <v>-2</v>
      </c>
      <c r="E864" s="64" t="s">
        <v>129</v>
      </c>
      <c r="F864" s="55">
        <v>46310.0</v>
      </c>
    </row>
    <row r="865" ht="19.5" customHeight="1">
      <c r="A865" s="61"/>
      <c r="B865" s="62" t="s">
        <v>246</v>
      </c>
      <c r="C865" s="63">
        <v>1.0</v>
      </c>
      <c r="D865" s="49">
        <f>IF(B865="","",VLOOKUP(B865,Magazzino!$B$4:$D$987,2))</f>
        <v>5</v>
      </c>
      <c r="E865" s="64" t="s">
        <v>129</v>
      </c>
      <c r="F865" s="55">
        <v>46310.0</v>
      </c>
    </row>
    <row r="866" ht="19.5" customHeight="1">
      <c r="A866" s="61"/>
      <c r="B866" s="62" t="s">
        <v>15</v>
      </c>
      <c r="C866" s="63">
        <v>2.0</v>
      </c>
      <c r="D866" s="49">
        <f>IF(B866="","",VLOOKUP(B866,Magazzino!$B$4:$D$987,2))</f>
        <v>-2</v>
      </c>
      <c r="E866" s="64" t="s">
        <v>129</v>
      </c>
      <c r="F866" s="55">
        <v>46310.0</v>
      </c>
    </row>
    <row r="867" ht="19.5" customHeight="1">
      <c r="A867" s="61"/>
      <c r="B867" s="62" t="s">
        <v>77</v>
      </c>
      <c r="C867" s="63">
        <v>1.0</v>
      </c>
      <c r="D867" s="49">
        <f>IF(B867="","",VLOOKUP(B867,Magazzino!$B$4:$D$987,2))</f>
        <v>42</v>
      </c>
      <c r="E867" s="64" t="s">
        <v>250</v>
      </c>
      <c r="F867" s="55">
        <v>46310.0</v>
      </c>
    </row>
    <row r="868" ht="19.5" customHeight="1">
      <c r="A868" s="61"/>
      <c r="B868" s="73"/>
      <c r="C868" s="72"/>
      <c r="D868" s="49" t="str">
        <f>IF(B868="","",VLOOKUP(B868,Magazzino!$B$4:$D$987,2))</f>
        <v/>
      </c>
      <c r="E868" s="74"/>
      <c r="F868" s="75"/>
    </row>
    <row r="869" ht="19.5" customHeight="1">
      <c r="A869" s="61"/>
      <c r="B869" s="73"/>
      <c r="C869" s="72"/>
      <c r="D869" s="49" t="str">
        <f>IF(B869="","",VLOOKUP(B869,Magazzino!$B$4:$D$987,2))</f>
        <v/>
      </c>
      <c r="E869" s="74"/>
      <c r="F869" s="75"/>
    </row>
    <row r="870" ht="19.5" customHeight="1">
      <c r="A870" s="61"/>
      <c r="B870" s="73"/>
      <c r="C870" s="72"/>
      <c r="D870" s="49" t="str">
        <f>IF(B870="","",VLOOKUP(B870,Magazzino!$B$4:$D$987,2))</f>
        <v/>
      </c>
      <c r="E870" s="74"/>
      <c r="F870" s="75"/>
    </row>
    <row r="871" ht="19.5" customHeight="1">
      <c r="A871" s="61"/>
      <c r="B871" s="73"/>
      <c r="C871" s="72"/>
      <c r="D871" s="49" t="str">
        <f>IF(B871="","",VLOOKUP(B871,Magazzino!$B$4:$D$987,2))</f>
        <v/>
      </c>
      <c r="E871" s="74"/>
      <c r="F871" s="75"/>
    </row>
    <row r="872" ht="19.5" customHeight="1">
      <c r="A872" s="61"/>
      <c r="B872" s="73"/>
      <c r="C872" s="72"/>
      <c r="D872" s="49" t="str">
        <f>IF(B872="","",VLOOKUP(B872,Magazzino!$B$4:$D$987,2))</f>
        <v/>
      </c>
      <c r="E872" s="74"/>
      <c r="F872" s="75"/>
    </row>
    <row r="873" ht="19.5" customHeight="1">
      <c r="A873" s="61"/>
      <c r="B873" s="73"/>
      <c r="C873" s="72"/>
      <c r="D873" s="49" t="str">
        <f>IF(B873="","",VLOOKUP(B873,Magazzino!$B$4:$D$987,2))</f>
        <v/>
      </c>
      <c r="E873" s="74"/>
      <c r="F873" s="75"/>
    </row>
    <row r="874" ht="19.5" customHeight="1">
      <c r="A874" s="61"/>
      <c r="B874" s="73"/>
      <c r="C874" s="72"/>
      <c r="D874" s="49" t="str">
        <f>IF(B874="","",VLOOKUP(B874,Magazzino!$B$4:$D$987,2))</f>
        <v/>
      </c>
      <c r="E874" s="74"/>
      <c r="F874" s="75"/>
    </row>
    <row r="875" ht="19.5" customHeight="1">
      <c r="A875" s="61"/>
      <c r="B875" s="73"/>
      <c r="C875" s="72"/>
      <c r="D875" s="49" t="str">
        <f>IF(B875="","",VLOOKUP(B875,Magazzino!$B$4:$D$987,2))</f>
        <v/>
      </c>
      <c r="E875" s="74"/>
      <c r="F875" s="75"/>
    </row>
    <row r="876" ht="19.5" customHeight="1">
      <c r="A876" s="61"/>
      <c r="B876" s="73"/>
      <c r="C876" s="72"/>
      <c r="D876" s="49" t="str">
        <f>IF(B876="","",VLOOKUP(B876,Magazzino!$B$4:$D$987,2))</f>
        <v/>
      </c>
      <c r="E876" s="74"/>
      <c r="F876" s="75"/>
    </row>
    <row r="877" ht="19.5" customHeight="1">
      <c r="A877" s="61"/>
      <c r="B877" s="73"/>
      <c r="C877" s="72"/>
      <c r="D877" s="49" t="str">
        <f>IF(B877="","",VLOOKUP(B877,Magazzino!$B$4:$D$987,2))</f>
        <v/>
      </c>
      <c r="E877" s="74"/>
      <c r="F877" s="75"/>
    </row>
    <row r="878" ht="19.5" customHeight="1">
      <c r="A878" s="61"/>
      <c r="B878" s="73"/>
      <c r="C878" s="72"/>
      <c r="D878" s="49" t="str">
        <f>IF(B878="","",VLOOKUP(B878,Magazzino!$B$4:$D$987,2))</f>
        <v/>
      </c>
      <c r="E878" s="74"/>
      <c r="F878" s="75"/>
    </row>
    <row r="879" ht="19.5" customHeight="1">
      <c r="A879" s="61"/>
      <c r="B879" s="73"/>
      <c r="C879" s="72"/>
      <c r="D879" s="49" t="str">
        <f>IF(B879="","",VLOOKUP(B879,Magazzino!$B$4:$D$987,2))</f>
        <v/>
      </c>
      <c r="E879" s="74"/>
      <c r="F879" s="75"/>
    </row>
    <row r="880" ht="19.5" customHeight="1">
      <c r="A880" s="61"/>
      <c r="B880" s="73"/>
      <c r="C880" s="72"/>
      <c r="D880" s="49" t="str">
        <f>IF(B880="","",VLOOKUP(B880,Magazzino!$B$4:$D$987,2))</f>
        <v/>
      </c>
      <c r="E880" s="74"/>
      <c r="F880" s="75"/>
    </row>
    <row r="881" ht="19.5" customHeight="1">
      <c r="A881" s="61"/>
      <c r="B881" s="73"/>
      <c r="C881" s="72"/>
      <c r="D881" s="49" t="str">
        <f>IF(B881="","",VLOOKUP(B881,Magazzino!$B$4:$D$987,2))</f>
        <v/>
      </c>
      <c r="E881" s="74"/>
      <c r="F881" s="75"/>
    </row>
    <row r="882" ht="19.5" customHeight="1">
      <c r="A882" s="61"/>
      <c r="B882" s="73"/>
      <c r="C882" s="72"/>
      <c r="D882" s="49" t="str">
        <f>IF(B882="","",VLOOKUP(B882,Magazzino!$B$4:$D$987,2))</f>
        <v/>
      </c>
      <c r="E882" s="74"/>
      <c r="F882" s="75"/>
    </row>
    <row r="883" ht="19.5" customHeight="1">
      <c r="A883" s="61"/>
      <c r="B883" s="73"/>
      <c r="C883" s="72"/>
      <c r="D883" s="49" t="str">
        <f>IF(B883="","",VLOOKUP(B883,Magazzino!$B$4:$D$987,2))</f>
        <v/>
      </c>
      <c r="E883" s="74"/>
      <c r="F883" s="75"/>
    </row>
    <row r="884" ht="19.5" customHeight="1">
      <c r="A884" s="61"/>
      <c r="B884" s="73"/>
      <c r="C884" s="72"/>
      <c r="D884" s="49" t="str">
        <f>IF(B884="","",VLOOKUP(B884,Magazzino!$B$4:$D$987,2))</f>
        <v/>
      </c>
      <c r="E884" s="74"/>
      <c r="F884" s="75"/>
    </row>
    <row r="885" ht="19.5" customHeight="1">
      <c r="A885" s="61"/>
      <c r="B885" s="73"/>
      <c r="C885" s="72"/>
      <c r="D885" s="49" t="str">
        <f>IF(B885="","",VLOOKUP(B885,Magazzino!$B$4:$D$987,2))</f>
        <v/>
      </c>
      <c r="E885" s="74"/>
      <c r="F885" s="75"/>
    </row>
    <row r="886" ht="19.5" customHeight="1">
      <c r="A886" s="61"/>
      <c r="B886" s="73"/>
      <c r="C886" s="72"/>
      <c r="D886" s="49" t="str">
        <f>IF(B886="","",VLOOKUP(B886,Magazzino!$B$4:$D$987,2))</f>
        <v/>
      </c>
      <c r="E886" s="74"/>
      <c r="F886" s="75"/>
    </row>
    <row r="887" ht="19.5" customHeight="1">
      <c r="A887" s="61"/>
      <c r="B887" s="73"/>
      <c r="C887" s="72"/>
      <c r="D887" s="49" t="str">
        <f>IF(B887="","",VLOOKUP(B887,Magazzino!$B$4:$D$987,2))</f>
        <v/>
      </c>
      <c r="E887" s="74"/>
      <c r="F887" s="75"/>
    </row>
    <row r="888" ht="19.5" customHeight="1">
      <c r="A888" s="61"/>
      <c r="B888" s="73"/>
      <c r="C888" s="72"/>
      <c r="D888" s="49" t="str">
        <f>IF(B888="","",VLOOKUP(B888,Magazzino!$B$4:$D$987,2))</f>
        <v/>
      </c>
      <c r="E888" s="74"/>
      <c r="F888" s="75"/>
    </row>
    <row r="889" ht="19.5" customHeight="1">
      <c r="A889" s="61"/>
      <c r="B889" s="73"/>
      <c r="C889" s="72"/>
      <c r="D889" s="49" t="str">
        <f>IF(B889="","",VLOOKUP(B889,Magazzino!$B$4:$D$987,2))</f>
        <v/>
      </c>
      <c r="E889" s="74"/>
      <c r="F889" s="75"/>
    </row>
    <row r="890" ht="19.5" customHeight="1">
      <c r="A890" s="61"/>
      <c r="B890" s="73"/>
      <c r="C890" s="72"/>
      <c r="D890" s="49" t="str">
        <f>IF(B890="","",VLOOKUP(B890,Magazzino!$B$4:$D$987,2))</f>
        <v/>
      </c>
      <c r="E890" s="74"/>
      <c r="F890" s="75"/>
    </row>
    <row r="891" ht="19.5" customHeight="1">
      <c r="A891" s="61"/>
      <c r="B891" s="73"/>
      <c r="C891" s="72"/>
      <c r="D891" s="49" t="str">
        <f>IF(B891="","",VLOOKUP(B891,Magazzino!$B$4:$D$987,2))</f>
        <v/>
      </c>
      <c r="E891" s="74"/>
      <c r="F891" s="75"/>
    </row>
    <row r="892" ht="19.5" customHeight="1">
      <c r="A892" s="61"/>
      <c r="B892" s="73"/>
      <c r="C892" s="72"/>
      <c r="D892" s="49" t="str">
        <f>IF(B892="","",VLOOKUP(B892,Magazzino!$B$4:$D$987,2))</f>
        <v/>
      </c>
      <c r="E892" s="74"/>
      <c r="F892" s="75"/>
    </row>
    <row r="893" ht="19.5" customHeight="1">
      <c r="A893" s="61"/>
      <c r="B893" s="73"/>
      <c r="C893" s="72"/>
      <c r="D893" s="49" t="str">
        <f>IF(B893="","",VLOOKUP(B893,Magazzino!$B$4:$D$987,2))</f>
        <v/>
      </c>
      <c r="E893" s="74"/>
      <c r="F893" s="75"/>
    </row>
    <row r="894" ht="19.5" customHeight="1">
      <c r="A894" s="61"/>
      <c r="B894" s="73"/>
      <c r="C894" s="72"/>
      <c r="D894" s="49" t="str">
        <f>IF(B894="","",VLOOKUP(B894,Magazzino!$B$4:$D$987,2))</f>
        <v/>
      </c>
      <c r="E894" s="74"/>
      <c r="F894" s="75"/>
    </row>
    <row r="895" ht="19.5" customHeight="1">
      <c r="A895" s="61"/>
      <c r="B895" s="73"/>
      <c r="C895" s="72"/>
      <c r="D895" s="49" t="str">
        <f>IF(B895="","",VLOOKUP(B895,Magazzino!$B$4:$D$987,2))</f>
        <v/>
      </c>
      <c r="E895" s="74"/>
      <c r="F895" s="75"/>
    </row>
    <row r="896" ht="19.5" customHeight="1">
      <c r="A896" s="61"/>
      <c r="B896" s="73"/>
      <c r="C896" s="72"/>
      <c r="D896" s="49" t="str">
        <f>IF(B896="","",VLOOKUP(B896,Magazzino!$B$4:$D$987,2))</f>
        <v/>
      </c>
      <c r="E896" s="74"/>
      <c r="F896" s="75"/>
    </row>
    <row r="897" ht="19.5" customHeight="1">
      <c r="A897" s="61"/>
      <c r="B897" s="73"/>
      <c r="C897" s="72"/>
      <c r="D897" s="49" t="str">
        <f>IF(B897="","",VLOOKUP(B897,Magazzino!$B$4:$D$987,2))</f>
        <v/>
      </c>
      <c r="E897" s="74"/>
      <c r="F897" s="75"/>
    </row>
    <row r="898" ht="19.5" customHeight="1">
      <c r="A898" s="61"/>
      <c r="B898" s="73"/>
      <c r="C898" s="72"/>
      <c r="D898" s="49" t="str">
        <f>IF(B898="","",VLOOKUP(B898,Magazzino!$B$4:$D$987,2))</f>
        <v/>
      </c>
      <c r="E898" s="74"/>
      <c r="F898" s="75"/>
    </row>
    <row r="899" ht="19.5" customHeight="1">
      <c r="A899" s="61"/>
      <c r="B899" s="73"/>
      <c r="C899" s="72"/>
      <c r="D899" s="49" t="str">
        <f>IF(B899="","",VLOOKUP(B899,Magazzino!$B$4:$D$987,2))</f>
        <v/>
      </c>
      <c r="E899" s="74"/>
      <c r="F899" s="75"/>
    </row>
    <row r="900" ht="19.5" customHeight="1">
      <c r="A900" s="61"/>
      <c r="B900" s="73"/>
      <c r="C900" s="72"/>
      <c r="D900" s="49" t="str">
        <f>IF(B900="","",VLOOKUP(B900,Magazzino!$B$4:$D$987,2))</f>
        <v/>
      </c>
      <c r="E900" s="74"/>
      <c r="F900" s="75"/>
    </row>
    <row r="901" ht="19.5" customHeight="1">
      <c r="A901" s="61"/>
      <c r="B901" s="73"/>
      <c r="C901" s="72"/>
      <c r="D901" s="49" t="str">
        <f>IF(B901="","",VLOOKUP(B901,Magazzino!$B$4:$D$987,2))</f>
        <v/>
      </c>
      <c r="E901" s="74"/>
      <c r="F901" s="75"/>
    </row>
    <row r="902" ht="19.5" customHeight="1">
      <c r="A902" s="61"/>
      <c r="B902" s="73"/>
      <c r="C902" s="72"/>
      <c r="D902" s="49" t="str">
        <f>IF(B902="","",VLOOKUP(B902,Magazzino!$B$4:$D$987,2))</f>
        <v/>
      </c>
      <c r="E902" s="74"/>
      <c r="F902" s="75"/>
    </row>
    <row r="903" ht="19.5" customHeight="1">
      <c r="A903" s="61"/>
      <c r="B903" s="73"/>
      <c r="C903" s="72"/>
      <c r="D903" s="49" t="str">
        <f>IF(B903="","",VLOOKUP(B903,Magazzino!$B$4:$D$987,2))</f>
        <v/>
      </c>
      <c r="E903" s="74"/>
      <c r="F903" s="75"/>
    </row>
    <row r="904" ht="19.5" customHeight="1">
      <c r="A904" s="61"/>
      <c r="B904" s="73"/>
      <c r="C904" s="72"/>
      <c r="D904" s="49" t="str">
        <f>IF(B904="","",VLOOKUP(B904,Magazzino!$B$4:$D$987,2))</f>
        <v/>
      </c>
      <c r="E904" s="74"/>
      <c r="F904" s="75"/>
    </row>
    <row r="905" ht="19.5" customHeight="1">
      <c r="A905" s="61"/>
      <c r="B905" s="73"/>
      <c r="C905" s="72"/>
      <c r="D905" s="49" t="str">
        <f>IF(B905="","",VLOOKUP(B905,Magazzino!$B$4:$D$987,2))</f>
        <v/>
      </c>
      <c r="E905" s="74"/>
      <c r="F905" s="75"/>
    </row>
    <row r="906" ht="19.5" customHeight="1">
      <c r="A906" s="61"/>
      <c r="B906" s="73"/>
      <c r="C906" s="72"/>
      <c r="D906" s="49" t="str">
        <f>IF(B906="","",VLOOKUP(B906,Magazzino!$B$4:$D$987,2))</f>
        <v/>
      </c>
      <c r="E906" s="74"/>
      <c r="F906" s="75"/>
    </row>
    <row r="907" ht="19.5" customHeight="1">
      <c r="A907" s="61"/>
      <c r="B907" s="73"/>
      <c r="C907" s="72"/>
      <c r="D907" s="49" t="str">
        <f>IF(B907="","",VLOOKUP(B907,Magazzino!$B$4:$D$987,2))</f>
        <v/>
      </c>
      <c r="E907" s="74"/>
      <c r="F907" s="75"/>
    </row>
    <row r="908" ht="19.5" customHeight="1">
      <c r="A908" s="61"/>
      <c r="B908" s="73"/>
      <c r="C908" s="72"/>
      <c r="D908" s="49" t="str">
        <f>IF(B908="","",VLOOKUP(B908,Magazzino!$B$4:$D$987,2))</f>
        <v/>
      </c>
      <c r="E908" s="74"/>
      <c r="F908" s="75"/>
    </row>
    <row r="909" ht="19.5" customHeight="1">
      <c r="A909" s="61"/>
      <c r="B909" s="73"/>
      <c r="C909" s="72"/>
      <c r="D909" s="49" t="str">
        <f>IF(B909="","",VLOOKUP(B909,Magazzino!$B$4:$D$987,2))</f>
        <v/>
      </c>
      <c r="E909" s="74"/>
      <c r="F909" s="75"/>
    </row>
    <row r="910" ht="19.5" customHeight="1">
      <c r="A910" s="61"/>
      <c r="B910" s="73"/>
      <c r="C910" s="72"/>
      <c r="D910" s="49" t="str">
        <f>IF(B910="","",VLOOKUP(B910,Magazzino!$B$4:$D$987,2))</f>
        <v/>
      </c>
      <c r="E910" s="74"/>
      <c r="F910" s="75"/>
    </row>
    <row r="911" ht="19.5" customHeight="1">
      <c r="A911" s="61"/>
      <c r="B911" s="73"/>
      <c r="C911" s="72"/>
      <c r="D911" s="49" t="str">
        <f>IF(B911="","",VLOOKUP(B911,Magazzino!$B$4:$D$987,2))</f>
        <v/>
      </c>
      <c r="E911" s="74"/>
      <c r="F911" s="75"/>
    </row>
    <row r="912" ht="19.5" customHeight="1">
      <c r="A912" s="61"/>
      <c r="B912" s="73"/>
      <c r="C912" s="72"/>
      <c r="D912" s="49" t="str">
        <f>IF(B912="","",VLOOKUP(B912,Magazzino!$B$4:$D$987,2))</f>
        <v/>
      </c>
      <c r="E912" s="74"/>
      <c r="F912" s="75"/>
    </row>
    <row r="913" ht="19.5" customHeight="1">
      <c r="A913" s="61"/>
      <c r="B913" s="73"/>
      <c r="C913" s="72"/>
      <c r="D913" s="49" t="str">
        <f>IF(B913="","",VLOOKUP(B913,Magazzino!$B$4:$D$987,2))</f>
        <v/>
      </c>
      <c r="E913" s="74"/>
      <c r="F913" s="75"/>
    </row>
    <row r="914" ht="19.5" customHeight="1">
      <c r="A914" s="61"/>
      <c r="B914" s="73"/>
      <c r="C914" s="72"/>
      <c r="D914" s="49" t="str">
        <f>IF(B914="","",VLOOKUP(B914,Magazzino!$B$4:$D$987,2))</f>
        <v/>
      </c>
      <c r="E914" s="74"/>
      <c r="F914" s="75"/>
    </row>
    <row r="915" ht="19.5" customHeight="1">
      <c r="A915" s="61"/>
      <c r="B915" s="73"/>
      <c r="C915" s="72"/>
      <c r="D915" s="49" t="str">
        <f>IF(B915="","",VLOOKUP(B915,Magazzino!$B$4:$D$987,2))</f>
        <v/>
      </c>
      <c r="E915" s="74"/>
      <c r="F915" s="75"/>
    </row>
    <row r="916" ht="19.5" customHeight="1">
      <c r="A916" s="61"/>
      <c r="B916" s="73"/>
      <c r="C916" s="72"/>
      <c r="D916" s="49" t="str">
        <f>IF(B916="","",VLOOKUP(B916,Magazzino!$B$4:$D$987,2))</f>
        <v/>
      </c>
      <c r="E916" s="74"/>
      <c r="F916" s="75"/>
    </row>
    <row r="917" ht="19.5" customHeight="1">
      <c r="A917" s="61"/>
      <c r="B917" s="73"/>
      <c r="C917" s="72"/>
      <c r="D917" s="49" t="str">
        <f>IF(B917="","",VLOOKUP(B917,Magazzino!$B$4:$D$987,2))</f>
        <v/>
      </c>
      <c r="E917" s="74"/>
      <c r="F917" s="75"/>
    </row>
    <row r="918" ht="19.5" customHeight="1">
      <c r="A918" s="61"/>
      <c r="B918" s="73"/>
      <c r="C918" s="72"/>
      <c r="D918" s="49" t="str">
        <f>IF(B918="","",VLOOKUP(B918,Magazzino!$B$4:$D$987,2))</f>
        <v/>
      </c>
      <c r="E918" s="74"/>
      <c r="F918" s="75"/>
    </row>
    <row r="919" ht="19.5" customHeight="1">
      <c r="A919" s="61"/>
      <c r="B919" s="73"/>
      <c r="C919" s="72"/>
      <c r="D919" s="49" t="str">
        <f>IF(B919="","",VLOOKUP(B919,Magazzino!$B$4:$D$987,2))</f>
        <v/>
      </c>
      <c r="E919" s="74"/>
      <c r="F919" s="75"/>
    </row>
    <row r="920" ht="19.5" customHeight="1">
      <c r="A920" s="61"/>
      <c r="B920" s="73"/>
      <c r="C920" s="72"/>
      <c r="D920" s="49" t="str">
        <f>IF(B920="","",VLOOKUP(B920,Magazzino!$B$4:$D$987,2))</f>
        <v/>
      </c>
      <c r="E920" s="74"/>
      <c r="F920" s="75"/>
    </row>
    <row r="921" ht="19.5" customHeight="1">
      <c r="A921" s="61"/>
      <c r="B921" s="73"/>
      <c r="C921" s="72"/>
      <c r="D921" s="49" t="str">
        <f>IF(B921="","",VLOOKUP(B921,Magazzino!$B$4:$D$987,2))</f>
        <v/>
      </c>
      <c r="E921" s="74"/>
      <c r="F921" s="75"/>
    </row>
    <row r="922" ht="19.5" customHeight="1">
      <c r="A922" s="61"/>
      <c r="B922" s="73"/>
      <c r="C922" s="72"/>
      <c r="D922" s="49" t="str">
        <f>IF(B922="","",VLOOKUP(B922,Magazzino!$B$4:$D$987,2))</f>
        <v/>
      </c>
      <c r="E922" s="74"/>
      <c r="F922" s="75"/>
    </row>
    <row r="923" ht="19.5" customHeight="1">
      <c r="A923" s="61"/>
      <c r="B923" s="73"/>
      <c r="C923" s="72"/>
      <c r="D923" s="49" t="str">
        <f>IF(B923="","",VLOOKUP(B923,Magazzino!$B$4:$D$987,2))</f>
        <v/>
      </c>
      <c r="E923" s="74"/>
      <c r="F923" s="75"/>
    </row>
    <row r="924" ht="19.5" customHeight="1">
      <c r="A924" s="61"/>
      <c r="B924" s="73"/>
      <c r="C924" s="72"/>
      <c r="D924" s="49" t="str">
        <f>IF(B924="","",VLOOKUP(B924,Magazzino!$B$4:$D$987,2))</f>
        <v/>
      </c>
      <c r="E924" s="74"/>
      <c r="F924" s="75"/>
    </row>
    <row r="925" ht="19.5" customHeight="1">
      <c r="A925" s="61"/>
      <c r="B925" s="73"/>
      <c r="C925" s="72"/>
      <c r="D925" s="49" t="str">
        <f>IF(B925="","",VLOOKUP(B925,Magazzino!$B$4:$D$987,2))</f>
        <v/>
      </c>
      <c r="E925" s="74"/>
      <c r="F925" s="75"/>
    </row>
    <row r="926" ht="19.5" customHeight="1">
      <c r="A926" s="61"/>
      <c r="B926" s="73"/>
      <c r="C926" s="72"/>
      <c r="D926" s="49" t="str">
        <f>IF(B926="","",VLOOKUP(B926,Magazzino!$B$4:$D$987,2))</f>
        <v/>
      </c>
      <c r="E926" s="74"/>
      <c r="F926" s="75"/>
    </row>
    <row r="927" ht="19.5" customHeight="1">
      <c r="A927" s="61"/>
      <c r="B927" s="73"/>
      <c r="C927" s="72"/>
      <c r="D927" s="49" t="str">
        <f>IF(B927="","",VLOOKUP(B927,Magazzino!$B$4:$D$987,2))</f>
        <v/>
      </c>
      <c r="E927" s="74"/>
      <c r="F927" s="75"/>
    </row>
    <row r="928" ht="19.5" customHeight="1">
      <c r="A928" s="61"/>
      <c r="B928" s="73"/>
      <c r="C928" s="72"/>
      <c r="D928" s="49" t="str">
        <f>IF(B928="","",VLOOKUP(B928,Magazzino!$B$4:$D$987,2))</f>
        <v/>
      </c>
      <c r="E928" s="74"/>
      <c r="F928" s="75"/>
    </row>
    <row r="929" ht="19.5" customHeight="1">
      <c r="A929" s="61"/>
      <c r="B929" s="73"/>
      <c r="C929" s="72"/>
      <c r="D929" s="49" t="str">
        <f>IF(B929="","",VLOOKUP(B929,Magazzino!$B$4:$D$987,2))</f>
        <v/>
      </c>
      <c r="E929" s="74"/>
      <c r="F929" s="75"/>
    </row>
    <row r="930" ht="19.5" customHeight="1">
      <c r="A930" s="61"/>
      <c r="B930" s="73"/>
      <c r="C930" s="72"/>
      <c r="D930" s="49" t="str">
        <f>IF(B930="","",VLOOKUP(B930,Magazzino!$B$4:$D$987,2))</f>
        <v/>
      </c>
      <c r="E930" s="74"/>
      <c r="F930" s="75"/>
    </row>
    <row r="931" ht="19.5" customHeight="1">
      <c r="A931" s="61"/>
      <c r="B931" s="73"/>
      <c r="C931" s="72"/>
      <c r="D931" s="49" t="str">
        <f>IF(B931="","",VLOOKUP(B931,Magazzino!$B$4:$D$987,2))</f>
        <v/>
      </c>
      <c r="E931" s="74"/>
      <c r="F931" s="75"/>
    </row>
    <row r="932" ht="19.5" customHeight="1">
      <c r="A932" s="61"/>
      <c r="B932" s="73"/>
      <c r="C932" s="72"/>
      <c r="D932" s="49" t="str">
        <f>IF(B932="","",VLOOKUP(B932,Magazzino!$B$4:$D$987,2))</f>
        <v/>
      </c>
      <c r="E932" s="74"/>
      <c r="F932" s="75"/>
    </row>
    <row r="933" ht="19.5" customHeight="1">
      <c r="A933" s="61"/>
      <c r="B933" s="73"/>
      <c r="C933" s="72"/>
      <c r="D933" s="49" t="str">
        <f>IF(B933="","",VLOOKUP(B933,Magazzino!$B$4:$D$987,2))</f>
        <v/>
      </c>
      <c r="E933" s="74"/>
      <c r="F933" s="75"/>
    </row>
    <row r="934" ht="19.5" customHeight="1">
      <c r="A934" s="61"/>
      <c r="B934" s="73"/>
      <c r="C934" s="72"/>
      <c r="D934" s="49" t="str">
        <f>IF(B934="","",VLOOKUP(B934,Magazzino!$B$4:$D$987,2))</f>
        <v/>
      </c>
      <c r="E934" s="74"/>
      <c r="F934" s="75"/>
    </row>
    <row r="935" ht="19.5" customHeight="1">
      <c r="A935" s="61"/>
      <c r="B935" s="73"/>
      <c r="C935" s="72"/>
      <c r="D935" s="78" t="str">
        <f>IF(B935="","",VLOOKUP(B935,Magazzino!$B$4:$D$987,2))</f>
        <v/>
      </c>
      <c r="E935" s="74"/>
      <c r="F935" s="75"/>
    </row>
    <row r="936" ht="19.5" customHeight="1">
      <c r="A936" s="61"/>
      <c r="B936" s="73"/>
      <c r="C936" s="72"/>
      <c r="D936" s="78" t="str">
        <f>IF(B936="","",VLOOKUP(B936,Magazzino!$B$4:$D$987,2))</f>
        <v/>
      </c>
      <c r="E936" s="74"/>
      <c r="F936" s="75"/>
    </row>
    <row r="937" ht="19.5" customHeight="1">
      <c r="A937" s="61"/>
      <c r="B937" s="73"/>
      <c r="C937" s="72"/>
      <c r="D937" s="78" t="str">
        <f>IF(B937="","",VLOOKUP(B937,Magazzino!$B$4:$D$987,2))</f>
        <v/>
      </c>
      <c r="E937" s="74"/>
      <c r="F937" s="75"/>
    </row>
    <row r="938" ht="19.5" customHeight="1">
      <c r="A938" s="61"/>
      <c r="B938" s="73"/>
      <c r="C938" s="72"/>
      <c r="D938" s="78" t="str">
        <f>IF(B938="","",VLOOKUP(B938,Magazzino!$B$4:$D$987,2))</f>
        <v/>
      </c>
      <c r="E938" s="74"/>
      <c r="F938" s="75"/>
    </row>
    <row r="939" ht="19.5" customHeight="1">
      <c r="A939" s="61"/>
      <c r="B939" s="73"/>
      <c r="C939" s="72"/>
      <c r="D939" s="78" t="str">
        <f>IF(B939="","",VLOOKUP(B939,Magazzino!$B$4:$D$987,2))</f>
        <v/>
      </c>
      <c r="E939" s="74"/>
      <c r="F939" s="75"/>
    </row>
    <row r="940" ht="19.5" customHeight="1">
      <c r="A940" s="61"/>
      <c r="B940" s="73"/>
      <c r="C940" s="72"/>
      <c r="D940" s="78" t="str">
        <f>IF(B940="","",VLOOKUP(B940,Magazzino!$B$4:$D$987,2))</f>
        <v/>
      </c>
      <c r="E940" s="74"/>
      <c r="F940" s="75"/>
    </row>
    <row r="941" ht="19.5" customHeight="1">
      <c r="A941" s="61"/>
      <c r="B941" s="73"/>
      <c r="C941" s="72"/>
      <c r="D941" s="78" t="str">
        <f>IF(B941="","",VLOOKUP(B941,Magazzino!$B$4:$D$987,2))</f>
        <v/>
      </c>
      <c r="E941" s="74"/>
      <c r="F941" s="75"/>
    </row>
    <row r="942" ht="19.5" customHeight="1">
      <c r="A942" s="61"/>
      <c r="B942" s="73"/>
      <c r="C942" s="72"/>
      <c r="D942" s="78" t="str">
        <f>IF(B942="","",VLOOKUP(B942,Magazzino!$B$4:$D$987,2))</f>
        <v/>
      </c>
      <c r="E942" s="74"/>
      <c r="F942" s="75"/>
    </row>
    <row r="943" ht="19.5" customHeight="1">
      <c r="A943" s="61"/>
      <c r="B943" s="73"/>
      <c r="C943" s="72"/>
      <c r="D943" s="78" t="str">
        <f>IF(B943="","",VLOOKUP(B943,Magazzino!$B$4:$D$987,2))</f>
        <v/>
      </c>
      <c r="E943" s="74"/>
      <c r="F943" s="75"/>
    </row>
    <row r="944" ht="19.5" customHeight="1">
      <c r="A944" s="61"/>
      <c r="B944" s="73"/>
      <c r="C944" s="72"/>
      <c r="D944" s="78" t="str">
        <f>IF(B944="","",VLOOKUP(B944,Magazzino!$B$4:$D$987,2))</f>
        <v/>
      </c>
      <c r="E944" s="74"/>
      <c r="F944" s="75"/>
    </row>
    <row r="945" ht="19.5" customHeight="1">
      <c r="A945" s="61"/>
      <c r="B945" s="73"/>
      <c r="C945" s="72"/>
      <c r="D945" s="78" t="str">
        <f>IF(B945="","",VLOOKUP(B945,Magazzino!$B$4:$D$987,2))</f>
        <v/>
      </c>
      <c r="E945" s="74"/>
      <c r="F945" s="75"/>
    </row>
    <row r="946" ht="19.5" customHeight="1">
      <c r="A946" s="61"/>
      <c r="B946" s="73"/>
      <c r="C946" s="72"/>
      <c r="D946" s="78" t="str">
        <f>IF(B946="","",VLOOKUP(B946,Magazzino!$B$4:$D$987,2))</f>
        <v/>
      </c>
      <c r="E946" s="74"/>
      <c r="F946" s="75"/>
    </row>
    <row r="947" ht="19.5" customHeight="1">
      <c r="A947" s="61"/>
      <c r="B947" s="73"/>
      <c r="C947" s="72"/>
      <c r="D947" s="78" t="str">
        <f>IF(B947="","",VLOOKUP(B947,Magazzino!$B$4:$D$987,2))</f>
        <v/>
      </c>
      <c r="E947" s="74"/>
      <c r="F947" s="75"/>
    </row>
    <row r="948" ht="19.5" customHeight="1">
      <c r="A948" s="61"/>
      <c r="B948" s="73"/>
      <c r="C948" s="72"/>
      <c r="D948" s="78" t="str">
        <f>IF(B948="","",VLOOKUP(B948,Magazzino!$B$4:$D$987,2))</f>
        <v/>
      </c>
      <c r="E948" s="74"/>
      <c r="F948" s="75"/>
    </row>
    <row r="949" ht="19.5" customHeight="1">
      <c r="A949" s="61"/>
      <c r="B949" s="73"/>
      <c r="C949" s="72"/>
      <c r="D949" s="78" t="str">
        <f>IF(B949="","",VLOOKUP(B949,Magazzino!$B$4:$D$987,2))</f>
        <v/>
      </c>
      <c r="E949" s="74"/>
      <c r="F949" s="75"/>
    </row>
    <row r="950" ht="19.5" customHeight="1">
      <c r="A950" s="61"/>
      <c r="B950" s="73"/>
      <c r="C950" s="72"/>
      <c r="D950" s="78" t="str">
        <f>IF(B950="","",VLOOKUP(B950,Magazzino!$B$4:$D$987,2))</f>
        <v/>
      </c>
      <c r="E950" s="74"/>
      <c r="F950" s="75"/>
    </row>
    <row r="951" ht="19.5" customHeight="1">
      <c r="A951" s="61"/>
      <c r="B951" s="73"/>
      <c r="C951" s="72"/>
      <c r="D951" s="78" t="str">
        <f>IF(B951="","",VLOOKUP(B951,Magazzino!$B$4:$D$987,2))</f>
        <v/>
      </c>
      <c r="E951" s="74"/>
      <c r="F951" s="75"/>
    </row>
    <row r="952" ht="19.5" customHeight="1">
      <c r="A952" s="61"/>
      <c r="B952" s="73"/>
      <c r="C952" s="72"/>
      <c r="D952" s="78" t="str">
        <f>IF(B952="","",VLOOKUP(B952,Magazzino!$B$4:$D$987,2))</f>
        <v/>
      </c>
      <c r="E952" s="74"/>
      <c r="F952" s="75"/>
    </row>
    <row r="953" ht="19.5" customHeight="1">
      <c r="A953" s="61"/>
      <c r="B953" s="73"/>
      <c r="C953" s="72"/>
      <c r="D953" s="78" t="str">
        <f>IF(B953="","",VLOOKUP(B953,Magazzino!$B$4:$D$987,2))</f>
        <v/>
      </c>
      <c r="E953" s="74"/>
      <c r="F953" s="75"/>
    </row>
    <row r="954" ht="19.5" customHeight="1">
      <c r="A954" s="61"/>
      <c r="B954" s="73"/>
      <c r="C954" s="72"/>
      <c r="D954" s="78" t="str">
        <f>IF(B954="","",VLOOKUP(B954,Magazzino!$B$4:$D$987,2))</f>
        <v/>
      </c>
      <c r="E954" s="74"/>
      <c r="F954" s="75"/>
    </row>
    <row r="955" ht="19.5" customHeight="1">
      <c r="A955" s="61"/>
      <c r="B955" s="73"/>
      <c r="C955" s="72"/>
      <c r="D955" s="78" t="str">
        <f>IF(B955="","",VLOOKUP(B955,Magazzino!$B$4:$D$987,2))</f>
        <v/>
      </c>
      <c r="E955" s="74"/>
      <c r="F955" s="75"/>
    </row>
    <row r="956" ht="19.5" customHeight="1">
      <c r="A956" s="61"/>
      <c r="B956" s="73"/>
      <c r="C956" s="72"/>
      <c r="D956" s="78" t="str">
        <f>IF(B956="","",VLOOKUP(B956,Magazzino!$B$4:$D$987,2))</f>
        <v/>
      </c>
      <c r="E956" s="74"/>
      <c r="F956" s="75"/>
    </row>
    <row r="957" ht="19.5" customHeight="1">
      <c r="A957" s="61"/>
      <c r="B957" s="73"/>
      <c r="C957" s="72"/>
      <c r="D957" s="78" t="str">
        <f>IF(B957="","",VLOOKUP(B957,Magazzino!$B$4:$D$987,2))</f>
        <v/>
      </c>
      <c r="E957" s="74"/>
      <c r="F957" s="75"/>
    </row>
    <row r="958" ht="19.5" customHeight="1">
      <c r="A958" s="61"/>
      <c r="B958" s="73"/>
      <c r="C958" s="72"/>
      <c r="D958" s="78" t="str">
        <f>IF(B958="","",VLOOKUP(B958,Magazzino!$B$4:$D$987,2))</f>
        <v/>
      </c>
      <c r="E958" s="74"/>
      <c r="F958" s="75"/>
    </row>
    <row r="959" ht="19.5" customHeight="1">
      <c r="A959" s="61"/>
      <c r="B959" s="73"/>
      <c r="C959" s="72"/>
      <c r="D959" s="78" t="str">
        <f>IF(B959="","",VLOOKUP(B959,Magazzino!$B$4:$D$987,2))</f>
        <v/>
      </c>
      <c r="E959" s="74"/>
      <c r="F959" s="75"/>
    </row>
    <row r="960" ht="19.5" customHeight="1">
      <c r="A960" s="61"/>
      <c r="B960" s="73"/>
      <c r="C960" s="72"/>
      <c r="D960" s="78" t="str">
        <f>IF(B960="","",VLOOKUP(B960,Magazzino!$B$4:$D$987,2))</f>
        <v/>
      </c>
      <c r="E960" s="74"/>
      <c r="F960" s="75"/>
    </row>
    <row r="961" ht="19.5" customHeight="1">
      <c r="A961" s="61"/>
      <c r="B961" s="73"/>
      <c r="C961" s="72"/>
      <c r="D961" s="78" t="str">
        <f>IF(B961="","",VLOOKUP(B961,Magazzino!$B$4:$D$987,2))</f>
        <v/>
      </c>
      <c r="E961" s="74"/>
      <c r="F961" s="75"/>
    </row>
    <row r="962" ht="19.5" customHeight="1">
      <c r="A962" s="61"/>
      <c r="B962" s="73"/>
      <c r="C962" s="72"/>
      <c r="D962" s="78" t="str">
        <f>IF(B962="","",VLOOKUP(B962,Magazzino!$B$4:$D$987,2))</f>
        <v/>
      </c>
      <c r="E962" s="74"/>
      <c r="F962" s="75"/>
    </row>
    <row r="963" ht="19.5" customHeight="1">
      <c r="A963" s="61"/>
      <c r="B963" s="73"/>
      <c r="C963" s="72"/>
      <c r="D963" s="78" t="str">
        <f>IF(B963="","",VLOOKUP(B963,Magazzino!$B$4:$D$987,2))</f>
        <v/>
      </c>
      <c r="E963" s="74"/>
      <c r="F963" s="75"/>
    </row>
    <row r="964" ht="19.5" customHeight="1">
      <c r="A964" s="61"/>
      <c r="B964" s="73"/>
      <c r="C964" s="72"/>
      <c r="D964" s="78" t="str">
        <f>IF(B964="","",VLOOKUP(B964,Magazzino!$B$4:$D$987,2))</f>
        <v/>
      </c>
      <c r="E964" s="74"/>
      <c r="F964" s="75"/>
    </row>
    <row r="965" ht="19.5" customHeight="1">
      <c r="A965" s="61"/>
      <c r="B965" s="73"/>
      <c r="C965" s="72"/>
      <c r="D965" s="78" t="str">
        <f>IF(B965="","",VLOOKUP(B965,Magazzino!$B$4:$D$987,2))</f>
        <v/>
      </c>
      <c r="E965" s="74"/>
      <c r="F965" s="75"/>
    </row>
    <row r="966" ht="19.5" customHeight="1">
      <c r="A966" s="61"/>
      <c r="B966" s="73"/>
      <c r="C966" s="72"/>
      <c r="D966" s="78" t="str">
        <f>IF(B966="","",VLOOKUP(B966,Magazzino!$B$4:$D$987,2))</f>
        <v/>
      </c>
      <c r="E966" s="74"/>
      <c r="F966" s="75"/>
    </row>
    <row r="967" ht="19.5" customHeight="1">
      <c r="A967" s="61"/>
      <c r="B967" s="73"/>
      <c r="C967" s="72"/>
      <c r="D967" s="78" t="str">
        <f>IF(B967="","",VLOOKUP(B967,Magazzino!$B$4:$D$987,2))</f>
        <v/>
      </c>
      <c r="E967" s="74"/>
      <c r="F967" s="75"/>
    </row>
    <row r="968" ht="19.5" customHeight="1">
      <c r="A968" s="61"/>
      <c r="B968" s="73"/>
      <c r="C968" s="72"/>
      <c r="D968" s="78" t="str">
        <f>IF(B968="","",VLOOKUP(B968,Magazzino!$B$4:$D$987,2))</f>
        <v/>
      </c>
      <c r="E968" s="74"/>
      <c r="F968" s="75"/>
    </row>
    <row r="969" ht="19.5" customHeight="1">
      <c r="A969" s="61"/>
      <c r="B969" s="73"/>
      <c r="C969" s="72"/>
      <c r="D969" s="78" t="str">
        <f>IF(B969="","",VLOOKUP(B969,Magazzino!$B$4:$D$987,2))</f>
        <v/>
      </c>
      <c r="E969" s="74"/>
      <c r="F969" s="75"/>
    </row>
    <row r="970" ht="19.5" customHeight="1">
      <c r="A970" s="61"/>
      <c r="B970" s="73"/>
      <c r="C970" s="72"/>
      <c r="D970" s="78" t="str">
        <f>IF(B970="","",VLOOKUP(B970,Magazzino!$B$4:$D$987,2))</f>
        <v/>
      </c>
      <c r="E970" s="74"/>
      <c r="F970" s="75"/>
    </row>
    <row r="971" ht="19.5" customHeight="1">
      <c r="A971" s="61"/>
      <c r="B971" s="73"/>
      <c r="C971" s="72"/>
      <c r="D971" s="78" t="str">
        <f>IF(B971="","",VLOOKUP(B971,Magazzino!$B$4:$D$987,2))</f>
        <v/>
      </c>
      <c r="E971" s="74"/>
      <c r="F971" s="75"/>
    </row>
    <row r="972" ht="19.5" customHeight="1">
      <c r="A972" s="61"/>
      <c r="B972" s="73"/>
      <c r="C972" s="72"/>
      <c r="D972" s="78" t="str">
        <f>IF(B972="","",VLOOKUP(B972,Magazzino!$B$4:$D$987,2))</f>
        <v/>
      </c>
      <c r="E972" s="74"/>
      <c r="F972" s="75"/>
    </row>
    <row r="973" ht="19.5" customHeight="1">
      <c r="A973" s="61"/>
      <c r="B973" s="73"/>
      <c r="C973" s="72"/>
      <c r="D973" s="78" t="str">
        <f>IF(B973="","",VLOOKUP(B973,Magazzino!$B$4:$D$987,2))</f>
        <v/>
      </c>
      <c r="E973" s="74"/>
      <c r="F973" s="75"/>
    </row>
    <row r="974" ht="19.5" customHeight="1">
      <c r="A974" s="61"/>
      <c r="B974" s="73"/>
      <c r="C974" s="72"/>
      <c r="D974" s="78" t="str">
        <f>IF(B974="","",VLOOKUP(B974,Magazzino!$B$4:$D$987,2))</f>
        <v/>
      </c>
      <c r="E974" s="74"/>
      <c r="F974" s="75"/>
    </row>
    <row r="975" ht="19.5" customHeight="1">
      <c r="A975" s="61"/>
      <c r="B975" s="73"/>
      <c r="C975" s="72"/>
      <c r="D975" s="78" t="str">
        <f>IF(B975="","",VLOOKUP(B975,Magazzino!$B$4:$D$987,2))</f>
        <v/>
      </c>
      <c r="E975" s="74"/>
      <c r="F975" s="75"/>
    </row>
    <row r="976" ht="19.5" customHeight="1">
      <c r="A976" s="61"/>
      <c r="B976" s="73"/>
      <c r="C976" s="72"/>
      <c r="D976" s="78" t="str">
        <f>IF(B976="","",VLOOKUP(B976,Magazzino!$B$4:$D$987,2))</f>
        <v/>
      </c>
      <c r="E976" s="74"/>
      <c r="F976" s="75"/>
    </row>
    <row r="977" ht="19.5" customHeight="1">
      <c r="A977" s="61"/>
      <c r="B977" s="73"/>
      <c r="C977" s="72"/>
      <c r="D977" s="78" t="str">
        <f>IF(B977="","",VLOOKUP(B977,Magazzino!$B$4:$D$987,2))</f>
        <v/>
      </c>
      <c r="E977" s="74"/>
      <c r="F977" s="75"/>
    </row>
    <row r="978" ht="19.5" customHeight="1">
      <c r="A978" s="61"/>
      <c r="B978" s="73"/>
      <c r="C978" s="72"/>
      <c r="D978" s="78" t="str">
        <f>IF(B978="","",VLOOKUP(B978,Magazzino!$B$4:$D$987,2))</f>
        <v/>
      </c>
      <c r="E978" s="74"/>
      <c r="F978" s="75"/>
    </row>
    <row r="979" ht="19.5" customHeight="1">
      <c r="A979" s="61"/>
      <c r="B979" s="73"/>
      <c r="C979" s="72"/>
      <c r="D979" s="78" t="str">
        <f>IF(B979="","",VLOOKUP(B979,Magazzino!$B$4:$D$987,2))</f>
        <v/>
      </c>
      <c r="E979" s="74"/>
      <c r="F979" s="75"/>
    </row>
    <row r="980" ht="19.5" customHeight="1">
      <c r="A980" s="61"/>
      <c r="B980" s="73"/>
      <c r="C980" s="72"/>
      <c r="D980" s="78" t="str">
        <f>IF(B980="","",VLOOKUP(B980,Magazzino!$B$4:$D$987,2))</f>
        <v/>
      </c>
      <c r="E980" s="74"/>
      <c r="F980" s="75"/>
    </row>
    <row r="981" ht="19.5" customHeight="1">
      <c r="A981" s="61"/>
      <c r="B981" s="73"/>
      <c r="C981" s="72"/>
      <c r="D981" s="78" t="str">
        <f>IF(B981="","",VLOOKUP(B981,Magazzino!$B$4:$D$987,2))</f>
        <v/>
      </c>
      <c r="E981" s="74"/>
      <c r="F981" s="75"/>
    </row>
    <row r="982" ht="19.5" customHeight="1">
      <c r="A982" s="61"/>
      <c r="B982" s="73"/>
      <c r="C982" s="72"/>
      <c r="D982" s="78" t="str">
        <f>IF(B982="","",VLOOKUP(B982,Magazzino!$B$4:$D$987,2))</f>
        <v/>
      </c>
      <c r="E982" s="74"/>
      <c r="F982" s="75"/>
    </row>
    <row r="983" ht="19.5" customHeight="1">
      <c r="A983" s="61"/>
      <c r="B983" s="73"/>
      <c r="C983" s="72"/>
      <c r="D983" s="78" t="str">
        <f>IF(B983="","",VLOOKUP(B983,Magazzino!$B$4:$D$987,2))</f>
        <v/>
      </c>
      <c r="E983" s="74"/>
      <c r="F983" s="75"/>
    </row>
    <row r="984" ht="19.5" customHeight="1">
      <c r="A984" s="61"/>
      <c r="B984" s="73"/>
      <c r="C984" s="72"/>
      <c r="D984" s="78" t="str">
        <f>IF(B984="","",VLOOKUP(B984,Magazzino!$B$4:$D$987,2))</f>
        <v/>
      </c>
      <c r="E984" s="74"/>
      <c r="F984" s="75"/>
    </row>
    <row r="985" ht="19.5" customHeight="1">
      <c r="A985" s="61"/>
      <c r="B985" s="73"/>
      <c r="C985" s="72"/>
      <c r="D985" s="78" t="str">
        <f>IF(B985="","",VLOOKUP(B985,Magazzino!$B$4:$D$987,2))</f>
        <v/>
      </c>
      <c r="E985" s="74"/>
      <c r="F985" s="75"/>
    </row>
    <row r="986" ht="19.5" customHeight="1">
      <c r="A986" s="61"/>
      <c r="B986" s="73"/>
      <c r="C986" s="72"/>
      <c r="D986" s="78" t="str">
        <f>IF(B986="","",VLOOKUP(B986,Magazzino!$B$4:$D$987,2))</f>
        <v/>
      </c>
      <c r="E986" s="74"/>
      <c r="F986" s="75"/>
    </row>
    <row r="987" ht="19.5" customHeight="1">
      <c r="A987" s="61"/>
      <c r="B987" s="73"/>
      <c r="C987" s="72"/>
      <c r="D987" s="78" t="str">
        <f>IF(B987="","",VLOOKUP(B987,Magazzino!$B$4:$D$987,2))</f>
        <v/>
      </c>
      <c r="E987" s="74"/>
      <c r="F987" s="75"/>
    </row>
    <row r="988" ht="19.5" customHeight="1">
      <c r="A988" s="61"/>
      <c r="B988" s="73"/>
      <c r="C988" s="72"/>
      <c r="D988" s="78" t="str">
        <f>IF(B988="","",VLOOKUP(B988,Magazzino!$B$4:$D$987,2))</f>
        <v/>
      </c>
      <c r="E988" s="74"/>
      <c r="F988" s="75"/>
    </row>
    <row r="989" ht="19.5" customHeight="1">
      <c r="A989" s="61"/>
      <c r="B989" s="73"/>
      <c r="C989" s="72"/>
      <c r="D989" s="78" t="str">
        <f>IF(B989="","",VLOOKUP(B989,Magazzino!$B$4:$D$987,2))</f>
        <v/>
      </c>
      <c r="E989" s="74"/>
      <c r="F989" s="75"/>
    </row>
    <row r="990" ht="19.5" customHeight="1">
      <c r="A990" s="61"/>
      <c r="B990" s="73"/>
      <c r="C990" s="72"/>
      <c r="D990" s="78" t="str">
        <f>IF(B990="","",VLOOKUP(B990,Magazzino!$B$4:$D$987,2))</f>
        <v/>
      </c>
      <c r="E990" s="74"/>
      <c r="F990" s="75"/>
    </row>
    <row r="991" ht="19.5" customHeight="1">
      <c r="A991" s="61"/>
      <c r="B991" s="73"/>
      <c r="C991" s="72"/>
      <c r="D991" s="78" t="str">
        <f>IF(B991="","",VLOOKUP(B991,Magazzino!$B$4:$D$987,2))</f>
        <v/>
      </c>
      <c r="E991" s="74"/>
      <c r="F991" s="75"/>
    </row>
    <row r="992" ht="19.5" customHeight="1">
      <c r="A992" s="61"/>
      <c r="B992" s="73"/>
      <c r="C992" s="72"/>
      <c r="D992" s="78" t="str">
        <f>IF(B992="","",VLOOKUP(B992,Magazzino!$B$4:$D$987,2))</f>
        <v/>
      </c>
      <c r="E992" s="74"/>
      <c r="F992" s="75"/>
    </row>
    <row r="993" ht="19.5" customHeight="1">
      <c r="A993" s="61"/>
      <c r="B993" s="73"/>
      <c r="C993" s="72"/>
      <c r="D993" s="78" t="str">
        <f>IF(B993="","",VLOOKUP(B993,Magazzino!$B$4:$D$987,2))</f>
        <v/>
      </c>
      <c r="E993" s="74"/>
      <c r="F993" s="75"/>
    </row>
    <row r="994" ht="19.5" customHeight="1">
      <c r="A994" s="61"/>
      <c r="B994" s="73"/>
      <c r="C994" s="72"/>
      <c r="D994" s="78" t="str">
        <f>IF(B994="","",VLOOKUP(B994,Magazzino!$B$4:$D$987,2))</f>
        <v/>
      </c>
      <c r="E994" s="74"/>
      <c r="F994" s="75"/>
    </row>
    <row r="995" ht="19.5" customHeight="1">
      <c r="A995" s="61"/>
      <c r="B995" s="73"/>
      <c r="C995" s="72"/>
      <c r="D995" s="78" t="str">
        <f>IF(B995="","",VLOOKUP(B995,Magazzino!$B$4:$D$987,2))</f>
        <v/>
      </c>
      <c r="E995" s="74"/>
      <c r="F995" s="75"/>
    </row>
    <row r="996" ht="19.5" customHeight="1">
      <c r="A996" s="61"/>
      <c r="B996" s="73"/>
      <c r="C996" s="72"/>
      <c r="D996" s="78" t="str">
        <f>IF(B996="","",VLOOKUP(B996,Magazzino!$B$4:$D$987,2))</f>
        <v/>
      </c>
      <c r="E996" s="74"/>
      <c r="F996" s="75"/>
    </row>
    <row r="997" ht="19.5" customHeight="1">
      <c r="A997" s="61"/>
      <c r="B997" s="73"/>
      <c r="C997" s="72"/>
      <c r="D997" s="78" t="str">
        <f>IF(B997="","",VLOOKUP(B997,Magazzino!$B$4:$D$987,2))</f>
        <v/>
      </c>
      <c r="E997" s="74"/>
      <c r="F997" s="75"/>
    </row>
  </sheetData>
  <conditionalFormatting sqref="C5">
    <cfRule type="notContainsBlanks" dxfId="8" priority="1">
      <formula>LEN(TRIM(C5))&gt;0</formula>
    </cfRule>
  </conditionalFormatting>
  <conditionalFormatting sqref="D3:D997">
    <cfRule type="cellIs" dxfId="5" priority="2" operator="lessThanOrEqual">
      <formula>5</formula>
    </cfRule>
  </conditionalFormatting>
  <conditionalFormatting sqref="D3:D997">
    <cfRule type="cellIs" dxfId="9" priority="3" operator="greaterThanOrEqual">
      <formula>6</formula>
    </cfRule>
  </conditionalFormatting>
  <conditionalFormatting sqref="E1:E997">
    <cfRule type="endsWith" dxfId="10" priority="4" operator="endsWith" text="AVV.">
      <formula>RIGHT((E1),LEN("AVV."))=("AVV.")</formula>
    </cfRule>
  </conditionalFormatting>
  <dataValidations>
    <dataValidation type="custom" allowBlank="1" showDropDown="1" sqref="C3:C997">
      <formula1>IF(D3&lt;0,FALSE,TRUE)</formula1>
    </dataValidation>
    <dataValidation type="list" allowBlank="1" showErrorMessage="1" sqref="B3:B906">
      <formula1>Magazzino!$B$4:$B$987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.13"/>
    <col customWidth="1" min="2" max="2" width="44.63"/>
    <col customWidth="1" min="3" max="3" width="14.63"/>
    <col customWidth="1" min="4" max="4" width="18.25"/>
    <col customWidth="1" min="5" max="5" width="24.38"/>
    <col customWidth="1" min="6" max="6" width="14.75"/>
  </cols>
  <sheetData>
    <row r="1" ht="15.75" customHeight="1">
      <c r="A1" s="1"/>
      <c r="B1" s="3"/>
      <c r="C1" s="1"/>
      <c r="D1" s="1"/>
      <c r="E1" s="1"/>
      <c r="F1" s="1"/>
    </row>
    <row r="2" ht="15.75" customHeight="1">
      <c r="A2" s="13" t="s">
        <v>0</v>
      </c>
      <c r="B2" s="15" t="s">
        <v>1</v>
      </c>
      <c r="C2" s="13" t="s">
        <v>3</v>
      </c>
      <c r="D2" s="13" t="s">
        <v>4</v>
      </c>
      <c r="E2" s="13" t="s">
        <v>7</v>
      </c>
      <c r="F2" s="19"/>
    </row>
    <row r="3" ht="15.75" customHeight="1">
      <c r="A3" s="21"/>
      <c r="B3" s="29" t="s">
        <v>16</v>
      </c>
      <c r="C3" s="31">
        <v>36.0</v>
      </c>
      <c r="D3" s="33" t="s">
        <v>17</v>
      </c>
      <c r="E3" s="34">
        <v>46065.0</v>
      </c>
      <c r="F3" s="19"/>
    </row>
    <row r="4" ht="15.75" customHeight="1">
      <c r="A4" s="21"/>
      <c r="B4" s="29" t="s">
        <v>18</v>
      </c>
      <c r="C4" s="31">
        <v>3.0</v>
      </c>
      <c r="D4" s="33" t="s">
        <v>20</v>
      </c>
      <c r="E4" s="34">
        <v>46065.0</v>
      </c>
      <c r="F4" s="1"/>
    </row>
    <row r="5" ht="15.75" customHeight="1">
      <c r="A5" s="21"/>
      <c r="B5" s="29" t="s">
        <v>21</v>
      </c>
      <c r="C5" s="31">
        <v>34.0</v>
      </c>
      <c r="D5" s="33" t="s">
        <v>17</v>
      </c>
      <c r="E5" s="34">
        <v>46065.0</v>
      </c>
      <c r="F5" s="1"/>
    </row>
    <row r="6" ht="15.75" customHeight="1">
      <c r="A6" s="21"/>
      <c r="B6" s="29" t="s">
        <v>22</v>
      </c>
      <c r="C6" s="31">
        <v>23.0</v>
      </c>
      <c r="D6" s="33" t="s">
        <v>17</v>
      </c>
      <c r="E6" s="34">
        <v>46065.0</v>
      </c>
      <c r="F6" s="1"/>
    </row>
    <row r="7" ht="15.75" customHeight="1">
      <c r="A7" s="21"/>
      <c r="B7" s="29" t="s">
        <v>24</v>
      </c>
      <c r="C7" s="31">
        <v>8.0</v>
      </c>
      <c r="D7" s="33" t="s">
        <v>17</v>
      </c>
      <c r="E7" s="34">
        <v>46065.0</v>
      </c>
      <c r="F7" s="1"/>
    </row>
    <row r="8" ht="15.75" customHeight="1">
      <c r="A8" s="21"/>
      <c r="B8" s="29" t="s">
        <v>26</v>
      </c>
      <c r="C8" s="31">
        <v>3.0</v>
      </c>
      <c r="D8" s="33" t="s">
        <v>20</v>
      </c>
      <c r="E8" s="34">
        <v>46065.0</v>
      </c>
      <c r="F8" s="1"/>
    </row>
    <row r="9" ht="15.75" customHeight="1">
      <c r="A9" s="21"/>
      <c r="B9" s="29" t="s">
        <v>28</v>
      </c>
      <c r="C9" s="31">
        <v>31.0</v>
      </c>
      <c r="D9" s="33" t="s">
        <v>17</v>
      </c>
      <c r="E9" s="34">
        <v>46065.0</v>
      </c>
      <c r="F9" s="1"/>
    </row>
    <row r="10" ht="15.75" customHeight="1">
      <c r="A10" s="21"/>
      <c r="B10" s="29" t="s">
        <v>33</v>
      </c>
      <c r="C10" s="31">
        <v>4.0</v>
      </c>
      <c r="D10" s="33" t="s">
        <v>20</v>
      </c>
      <c r="E10" s="34">
        <v>46065.0</v>
      </c>
      <c r="F10" s="1"/>
    </row>
    <row r="11" ht="15.75" customHeight="1">
      <c r="A11" s="21"/>
      <c r="B11" s="29" t="s">
        <v>36</v>
      </c>
      <c r="C11" s="31">
        <v>10.0</v>
      </c>
      <c r="D11" s="33" t="s">
        <v>17</v>
      </c>
      <c r="E11" s="34">
        <v>46065.0</v>
      </c>
      <c r="F11" s="1"/>
    </row>
    <row r="12" ht="15.75" customHeight="1">
      <c r="A12" s="21"/>
      <c r="B12" s="29" t="s">
        <v>38</v>
      </c>
      <c r="C12" s="31">
        <v>9.0</v>
      </c>
      <c r="D12" s="33" t="s">
        <v>17</v>
      </c>
      <c r="E12" s="34">
        <v>46065.0</v>
      </c>
      <c r="F12" s="1"/>
    </row>
    <row r="13" ht="15.75" customHeight="1">
      <c r="A13" s="21"/>
      <c r="B13" s="29" t="s">
        <v>42</v>
      </c>
      <c r="C13" s="31">
        <v>4.0</v>
      </c>
      <c r="D13" s="33" t="s">
        <v>17</v>
      </c>
      <c r="E13" s="34">
        <v>46065.0</v>
      </c>
      <c r="F13" s="1"/>
    </row>
    <row r="14" ht="15.75" customHeight="1">
      <c r="A14" s="21"/>
      <c r="B14" s="29" t="s">
        <v>44</v>
      </c>
      <c r="C14" s="31">
        <v>11.0</v>
      </c>
      <c r="D14" s="33" t="s">
        <v>17</v>
      </c>
      <c r="E14" s="34">
        <v>46065.0</v>
      </c>
      <c r="F14" s="1"/>
    </row>
    <row r="15" ht="15.75" customHeight="1">
      <c r="A15" s="21"/>
      <c r="B15" s="29" t="s">
        <v>47</v>
      </c>
      <c r="C15" s="31">
        <v>8.0</v>
      </c>
      <c r="D15" s="33" t="s">
        <v>17</v>
      </c>
      <c r="E15" s="34">
        <v>46065.0</v>
      </c>
      <c r="F15" s="1"/>
    </row>
    <row r="16" ht="15.75" customHeight="1">
      <c r="A16" s="21"/>
      <c r="B16" s="29" t="s">
        <v>49</v>
      </c>
      <c r="C16" s="31">
        <v>11.0</v>
      </c>
      <c r="D16" s="33" t="s">
        <v>17</v>
      </c>
      <c r="E16" s="34">
        <v>46065.0</v>
      </c>
      <c r="F16" s="1"/>
    </row>
    <row r="17" ht="15.75" customHeight="1">
      <c r="A17" s="21"/>
      <c r="B17" s="29" t="s">
        <v>51</v>
      </c>
      <c r="C17" s="31">
        <v>10.0</v>
      </c>
      <c r="D17" s="33" t="s">
        <v>17</v>
      </c>
      <c r="E17" s="34">
        <v>46065.0</v>
      </c>
      <c r="F17" s="1"/>
    </row>
    <row r="18" ht="15.75" customHeight="1">
      <c r="A18" s="21"/>
      <c r="B18" s="29" t="s">
        <v>54</v>
      </c>
      <c r="C18" s="31">
        <v>11.0</v>
      </c>
      <c r="D18" s="33" t="s">
        <v>17</v>
      </c>
      <c r="E18" s="34">
        <v>46065.0</v>
      </c>
      <c r="F18" s="1"/>
    </row>
    <row r="19" ht="15.75" customHeight="1">
      <c r="A19" s="21"/>
      <c r="B19" s="29" t="s">
        <v>56</v>
      </c>
      <c r="C19" s="31">
        <v>11.0</v>
      </c>
      <c r="D19" s="33" t="s">
        <v>17</v>
      </c>
      <c r="E19" s="34">
        <v>46065.0</v>
      </c>
      <c r="F19" s="1"/>
    </row>
    <row r="20" ht="15.75" customHeight="1">
      <c r="A20" s="21"/>
      <c r="B20" s="29" t="s">
        <v>59</v>
      </c>
      <c r="C20" s="31">
        <v>11.0</v>
      </c>
      <c r="D20" s="33" t="s">
        <v>17</v>
      </c>
      <c r="E20" s="34">
        <v>46065.0</v>
      </c>
      <c r="F20" s="1"/>
    </row>
    <row r="21" ht="15.75" customHeight="1">
      <c r="A21" s="21"/>
      <c r="B21" s="29" t="s">
        <v>15</v>
      </c>
      <c r="C21" s="31">
        <v>57.0</v>
      </c>
      <c r="D21" s="33" t="s">
        <v>20</v>
      </c>
      <c r="E21" s="34">
        <v>46065.0</v>
      </c>
      <c r="F21" s="1"/>
    </row>
    <row r="22" ht="15.75" customHeight="1">
      <c r="A22" s="21"/>
      <c r="B22" s="29" t="s">
        <v>32</v>
      </c>
      <c r="C22" s="31">
        <v>12.0</v>
      </c>
      <c r="D22" s="33" t="s">
        <v>20</v>
      </c>
      <c r="E22" s="34">
        <v>46065.0</v>
      </c>
      <c r="F22" s="1"/>
    </row>
    <row r="23" ht="15.75" customHeight="1">
      <c r="A23" s="21"/>
      <c r="B23" s="29" t="s">
        <v>40</v>
      </c>
      <c r="C23" s="31">
        <v>7.0</v>
      </c>
      <c r="D23" s="33" t="s">
        <v>20</v>
      </c>
      <c r="E23" s="34">
        <v>46065.0</v>
      </c>
      <c r="F23" s="1"/>
    </row>
    <row r="24" ht="15.75" customHeight="1">
      <c r="A24" s="21"/>
      <c r="B24" s="29" t="s">
        <v>45</v>
      </c>
      <c r="C24" s="31">
        <v>129.0</v>
      </c>
      <c r="D24" s="33" t="s">
        <v>20</v>
      </c>
      <c r="E24" s="34">
        <v>46065.0</v>
      </c>
      <c r="F24" s="1"/>
    </row>
    <row r="25" ht="15.75" customHeight="1">
      <c r="A25" s="21"/>
      <c r="B25" s="29" t="s">
        <v>52</v>
      </c>
      <c r="C25" s="31">
        <v>10.0</v>
      </c>
      <c r="D25" s="33" t="s">
        <v>20</v>
      </c>
      <c r="E25" s="34">
        <v>46065.0</v>
      </c>
      <c r="F25" s="1"/>
    </row>
    <row r="26" ht="15.75" customHeight="1">
      <c r="A26" s="21"/>
      <c r="B26" s="29" t="s">
        <v>19</v>
      </c>
      <c r="C26" s="31">
        <v>10.0</v>
      </c>
      <c r="D26" s="33" t="s">
        <v>20</v>
      </c>
      <c r="E26" s="34">
        <v>46065.0</v>
      </c>
      <c r="F26" s="1"/>
    </row>
    <row r="27" ht="15.75" customHeight="1">
      <c r="A27" s="21"/>
      <c r="B27" s="29" t="s">
        <v>60</v>
      </c>
      <c r="C27" s="31">
        <v>18.0</v>
      </c>
      <c r="D27" s="33" t="s">
        <v>20</v>
      </c>
      <c r="E27" s="34">
        <v>46065.0</v>
      </c>
      <c r="F27" s="1"/>
    </row>
    <row r="28" ht="15.75" customHeight="1">
      <c r="A28" s="21"/>
      <c r="B28" s="29" t="s">
        <v>66</v>
      </c>
      <c r="C28" s="31">
        <v>32.0</v>
      </c>
      <c r="D28" s="33" t="s">
        <v>20</v>
      </c>
      <c r="E28" s="34">
        <v>46065.0</v>
      </c>
      <c r="F28" s="1"/>
    </row>
    <row r="29" ht="15.75" customHeight="1">
      <c r="A29" s="21"/>
      <c r="B29" s="29" t="s">
        <v>68</v>
      </c>
      <c r="C29" s="31">
        <v>240.0</v>
      </c>
      <c r="D29" s="33" t="s">
        <v>20</v>
      </c>
      <c r="E29" s="34">
        <v>46065.0</v>
      </c>
      <c r="F29" s="1"/>
    </row>
    <row r="30" ht="15.75" customHeight="1">
      <c r="A30" s="21"/>
      <c r="B30" s="29" t="s">
        <v>72</v>
      </c>
      <c r="C30" s="31">
        <v>8.0</v>
      </c>
      <c r="D30" s="33" t="s">
        <v>20</v>
      </c>
      <c r="E30" s="34">
        <v>46065.0</v>
      </c>
      <c r="F30" s="1"/>
    </row>
    <row r="31" ht="15.75" customHeight="1">
      <c r="A31" s="21"/>
      <c r="B31" s="29" t="s">
        <v>79</v>
      </c>
      <c r="C31" s="31">
        <v>5.0</v>
      </c>
      <c r="D31" s="33" t="s">
        <v>20</v>
      </c>
      <c r="E31" s="34">
        <v>46065.0</v>
      </c>
      <c r="F31" s="1"/>
    </row>
    <row r="32" ht="15.75" customHeight="1">
      <c r="A32" s="21"/>
      <c r="B32" s="29" t="s">
        <v>82</v>
      </c>
      <c r="C32" s="31">
        <v>7.0</v>
      </c>
      <c r="D32" s="33" t="s">
        <v>20</v>
      </c>
      <c r="E32" s="34">
        <v>46065.0</v>
      </c>
      <c r="F32" s="1"/>
    </row>
    <row r="33" ht="15.75" customHeight="1">
      <c r="A33" s="21"/>
      <c r="B33" s="29" t="s">
        <v>85</v>
      </c>
      <c r="C33" s="31">
        <v>7.0</v>
      </c>
      <c r="D33" s="33" t="s">
        <v>20</v>
      </c>
      <c r="E33" s="34">
        <v>46066.0</v>
      </c>
      <c r="F33" s="1"/>
    </row>
    <row r="34" ht="15.75" customHeight="1">
      <c r="A34" s="21"/>
      <c r="B34" s="29" t="s">
        <v>87</v>
      </c>
      <c r="C34" s="31">
        <v>19.0</v>
      </c>
      <c r="D34" s="33" t="s">
        <v>20</v>
      </c>
      <c r="E34" s="34">
        <v>46067.0</v>
      </c>
      <c r="F34" s="1"/>
    </row>
    <row r="35" ht="15.75" customHeight="1">
      <c r="A35" s="21"/>
      <c r="B35" s="29" t="s">
        <v>89</v>
      </c>
      <c r="C35" s="31">
        <v>5.0</v>
      </c>
      <c r="D35" s="33" t="s">
        <v>20</v>
      </c>
      <c r="E35" s="34">
        <v>46068.0</v>
      </c>
      <c r="F35" s="1"/>
    </row>
    <row r="36" ht="15.75" customHeight="1">
      <c r="A36" s="21"/>
      <c r="B36" s="29" t="s">
        <v>30</v>
      </c>
      <c r="C36" s="31">
        <v>2.0</v>
      </c>
      <c r="D36" s="33" t="s">
        <v>20</v>
      </c>
      <c r="E36" s="34">
        <v>46069.0</v>
      </c>
      <c r="F36" s="1"/>
    </row>
    <row r="37" ht="15.75" customHeight="1">
      <c r="A37" s="21"/>
      <c r="B37" s="29" t="s">
        <v>94</v>
      </c>
      <c r="C37" s="31">
        <v>4.0</v>
      </c>
      <c r="D37" s="33" t="s">
        <v>20</v>
      </c>
      <c r="E37" s="34">
        <v>46070.0</v>
      </c>
      <c r="F37" s="1"/>
    </row>
    <row r="38" ht="15.75" customHeight="1">
      <c r="A38" s="21"/>
      <c r="B38" s="29" t="s">
        <v>96</v>
      </c>
      <c r="C38" s="31">
        <v>6.0</v>
      </c>
      <c r="D38" s="33" t="s">
        <v>20</v>
      </c>
      <c r="E38" s="34">
        <v>46071.0</v>
      </c>
      <c r="F38" s="1"/>
    </row>
    <row r="39" ht="15.75" customHeight="1">
      <c r="A39" s="21"/>
      <c r="B39" s="29" t="s">
        <v>98</v>
      </c>
      <c r="C39" s="31">
        <v>5.0</v>
      </c>
      <c r="D39" s="33" t="s">
        <v>20</v>
      </c>
      <c r="E39" s="34">
        <v>46072.0</v>
      </c>
      <c r="F39" s="1"/>
    </row>
    <row r="40" ht="15.75" customHeight="1">
      <c r="A40" s="21"/>
      <c r="B40" s="29" t="s">
        <v>101</v>
      </c>
      <c r="C40" s="31">
        <v>10.0</v>
      </c>
      <c r="D40" s="33" t="s">
        <v>20</v>
      </c>
      <c r="E40" s="34">
        <v>46073.0</v>
      </c>
      <c r="F40" s="1"/>
    </row>
    <row r="41" ht="15.75" customHeight="1">
      <c r="A41" s="21"/>
      <c r="B41" s="29" t="s">
        <v>104</v>
      </c>
      <c r="C41" s="31">
        <v>6.0</v>
      </c>
      <c r="D41" s="33" t="s">
        <v>20</v>
      </c>
      <c r="E41" s="34">
        <v>46074.0</v>
      </c>
      <c r="F41" s="1"/>
    </row>
    <row r="42" ht="15.75" customHeight="1">
      <c r="A42" s="21"/>
      <c r="B42" s="29" t="s">
        <v>106</v>
      </c>
      <c r="C42" s="31">
        <v>1.0</v>
      </c>
      <c r="D42" s="33" t="s">
        <v>20</v>
      </c>
      <c r="E42" s="34">
        <v>46065.0</v>
      </c>
      <c r="F42" s="1"/>
    </row>
    <row r="43" ht="15.75" customHeight="1">
      <c r="A43" s="21"/>
      <c r="B43" s="29" t="s">
        <v>108</v>
      </c>
      <c r="C43" s="31">
        <v>6.0</v>
      </c>
      <c r="D43" s="33" t="s">
        <v>20</v>
      </c>
      <c r="E43" s="34">
        <v>46066.0</v>
      </c>
      <c r="F43" s="1"/>
    </row>
    <row r="44" ht="15.75" customHeight="1">
      <c r="A44" s="21"/>
      <c r="B44" s="29" t="s">
        <v>113</v>
      </c>
      <c r="C44" s="31">
        <v>7.0</v>
      </c>
      <c r="D44" s="33" t="s">
        <v>20</v>
      </c>
      <c r="E44" s="34">
        <v>46067.0</v>
      </c>
      <c r="F44" s="1"/>
    </row>
    <row r="45" ht="15.75" customHeight="1">
      <c r="A45" s="21"/>
      <c r="B45" s="29" t="s">
        <v>74</v>
      </c>
      <c r="C45" s="31">
        <v>1.0</v>
      </c>
      <c r="D45" s="33" t="s">
        <v>20</v>
      </c>
      <c r="E45" s="34">
        <v>46068.0</v>
      </c>
      <c r="F45" s="1"/>
    </row>
    <row r="46" ht="15.75" customHeight="1">
      <c r="A46" s="21"/>
      <c r="B46" s="29" t="s">
        <v>75</v>
      </c>
      <c r="C46" s="31">
        <v>10.0</v>
      </c>
      <c r="D46" s="33" t="s">
        <v>20</v>
      </c>
      <c r="E46" s="34">
        <v>46069.0</v>
      </c>
      <c r="F46" s="1"/>
    </row>
    <row r="47" ht="15.75" customHeight="1">
      <c r="A47" s="21"/>
      <c r="B47" s="29" t="s">
        <v>118</v>
      </c>
      <c r="C47" s="31">
        <v>5.0</v>
      </c>
      <c r="D47" s="33" t="s">
        <v>20</v>
      </c>
      <c r="E47" s="34">
        <v>46070.0</v>
      </c>
      <c r="F47" s="1"/>
    </row>
    <row r="48" ht="15.75" customHeight="1">
      <c r="A48" s="21"/>
      <c r="B48" s="29" t="s">
        <v>121</v>
      </c>
      <c r="C48" s="31">
        <v>10.0</v>
      </c>
      <c r="D48" s="33" t="s">
        <v>20</v>
      </c>
      <c r="E48" s="34">
        <v>46071.0</v>
      </c>
      <c r="F48" s="1"/>
    </row>
    <row r="49" ht="15.75" customHeight="1">
      <c r="A49" s="21"/>
      <c r="B49" s="29" t="s">
        <v>73</v>
      </c>
      <c r="C49" s="31">
        <v>10.0</v>
      </c>
      <c r="D49" s="33" t="s">
        <v>20</v>
      </c>
      <c r="E49" s="34">
        <v>46072.0</v>
      </c>
      <c r="F49" s="1"/>
    </row>
    <row r="50" ht="15.75" customHeight="1">
      <c r="A50" s="21"/>
      <c r="B50" s="29" t="s">
        <v>125</v>
      </c>
      <c r="C50" s="31">
        <v>6.0</v>
      </c>
      <c r="D50" s="33" t="s">
        <v>20</v>
      </c>
      <c r="E50" s="34">
        <v>46073.0</v>
      </c>
      <c r="F50" s="1"/>
    </row>
    <row r="51" ht="15.75" customHeight="1">
      <c r="A51" s="21"/>
      <c r="B51" s="29" t="s">
        <v>127</v>
      </c>
      <c r="C51" s="31">
        <v>5.0</v>
      </c>
      <c r="D51" s="33" t="s">
        <v>20</v>
      </c>
      <c r="E51" s="34">
        <v>46074.0</v>
      </c>
      <c r="F51" s="1"/>
    </row>
    <row r="52" ht="15.75" customHeight="1">
      <c r="A52" s="21"/>
      <c r="B52" s="29" t="s">
        <v>44</v>
      </c>
      <c r="C52" s="31">
        <v>12.0</v>
      </c>
      <c r="D52" s="33" t="s">
        <v>20</v>
      </c>
      <c r="E52" s="34">
        <v>46065.0</v>
      </c>
      <c r="F52" s="1"/>
    </row>
    <row r="53" ht="15.75" customHeight="1">
      <c r="A53" s="21"/>
      <c r="B53" s="29" t="s">
        <v>115</v>
      </c>
      <c r="C53" s="31">
        <v>6.0</v>
      </c>
      <c r="D53" s="33" t="s">
        <v>20</v>
      </c>
      <c r="E53" s="34">
        <v>46066.0</v>
      </c>
      <c r="F53" s="1"/>
    </row>
    <row r="54" ht="15.75" customHeight="1">
      <c r="A54" s="21"/>
      <c r="B54" s="29" t="s">
        <v>132</v>
      </c>
      <c r="C54" s="31">
        <v>4.0</v>
      </c>
      <c r="D54" s="33" t="s">
        <v>20</v>
      </c>
      <c r="E54" s="34">
        <v>46067.0</v>
      </c>
      <c r="F54" s="1"/>
    </row>
    <row r="55" ht="15.75" customHeight="1">
      <c r="A55" s="21"/>
      <c r="B55" s="29" t="s">
        <v>43</v>
      </c>
      <c r="C55" s="31">
        <v>4.0</v>
      </c>
      <c r="D55" s="33" t="s">
        <v>20</v>
      </c>
      <c r="E55" s="34">
        <v>46068.0</v>
      </c>
      <c r="F55" s="1"/>
    </row>
    <row r="56" ht="15.75" customHeight="1">
      <c r="A56" s="21"/>
      <c r="B56" s="29" t="s">
        <v>109</v>
      </c>
      <c r="C56" s="31">
        <v>6.0</v>
      </c>
      <c r="D56" s="33" t="s">
        <v>20</v>
      </c>
      <c r="E56" s="34">
        <v>46069.0</v>
      </c>
      <c r="F56" s="1"/>
    </row>
    <row r="57" ht="15.75" customHeight="1">
      <c r="A57" s="21"/>
      <c r="B57" s="29" t="s">
        <v>77</v>
      </c>
      <c r="C57" s="31">
        <v>32.0</v>
      </c>
      <c r="D57" s="33" t="s">
        <v>20</v>
      </c>
      <c r="E57" s="34">
        <v>46070.0</v>
      </c>
      <c r="F57" s="1"/>
    </row>
    <row r="58" ht="15.75" customHeight="1">
      <c r="A58" s="21"/>
      <c r="B58" s="29" t="s">
        <v>83</v>
      </c>
      <c r="C58" s="31">
        <v>6.0</v>
      </c>
      <c r="D58" s="33" t="s">
        <v>20</v>
      </c>
      <c r="E58" s="34">
        <v>46071.0</v>
      </c>
      <c r="F58" s="1"/>
    </row>
    <row r="59" ht="15.75" customHeight="1">
      <c r="A59" s="21"/>
      <c r="B59" s="29" t="s">
        <v>140</v>
      </c>
      <c r="C59" s="31">
        <v>8.0</v>
      </c>
      <c r="D59" s="33" t="s">
        <v>20</v>
      </c>
      <c r="E59" s="34">
        <v>46072.0</v>
      </c>
      <c r="F59" s="1"/>
    </row>
    <row r="60" ht="15.75" customHeight="1">
      <c r="A60" s="21"/>
      <c r="B60" s="29" t="s">
        <v>57</v>
      </c>
      <c r="C60" s="31">
        <v>10.0</v>
      </c>
      <c r="D60" s="33" t="s">
        <v>20</v>
      </c>
      <c r="E60" s="34">
        <v>46073.0</v>
      </c>
      <c r="F60" s="1"/>
    </row>
    <row r="61" ht="15.75" customHeight="1">
      <c r="A61" s="21"/>
      <c r="B61" s="29" t="s">
        <v>143</v>
      </c>
      <c r="C61" s="31">
        <v>5.0</v>
      </c>
      <c r="D61" s="33" t="s">
        <v>20</v>
      </c>
      <c r="E61" s="34">
        <v>46074.0</v>
      </c>
      <c r="F61" s="1"/>
    </row>
    <row r="62" ht="15.75" customHeight="1">
      <c r="A62" s="21"/>
      <c r="B62" s="29" t="s">
        <v>145</v>
      </c>
      <c r="C62" s="31">
        <v>7.0</v>
      </c>
      <c r="D62" s="33" t="s">
        <v>20</v>
      </c>
      <c r="E62" s="34">
        <v>46075.0</v>
      </c>
      <c r="F62" s="1"/>
    </row>
    <row r="63" ht="15.75" customHeight="1">
      <c r="A63" s="21"/>
      <c r="B63" s="29" t="s">
        <v>147</v>
      </c>
      <c r="C63" s="31">
        <v>2.0</v>
      </c>
      <c r="D63" s="33" t="s">
        <v>20</v>
      </c>
      <c r="E63" s="34">
        <v>46065.0</v>
      </c>
      <c r="F63" s="1"/>
    </row>
    <row r="64" ht="15.75" customHeight="1">
      <c r="A64" s="21"/>
      <c r="B64" s="29" t="s">
        <v>88</v>
      </c>
      <c r="C64" s="31">
        <v>3.0</v>
      </c>
      <c r="D64" s="33" t="s">
        <v>20</v>
      </c>
      <c r="E64" s="34">
        <v>46066.0</v>
      </c>
      <c r="F64" s="1"/>
    </row>
    <row r="65" ht="15.75" customHeight="1">
      <c r="A65" s="21"/>
      <c r="B65" s="29" t="s">
        <v>90</v>
      </c>
      <c r="C65" s="31">
        <v>7.0</v>
      </c>
      <c r="D65" s="33" t="s">
        <v>20</v>
      </c>
      <c r="E65" s="34">
        <v>46067.0</v>
      </c>
      <c r="F65" s="1"/>
    </row>
    <row r="66" ht="15.75" customHeight="1">
      <c r="A66" s="21"/>
      <c r="B66" s="29" t="s">
        <v>91</v>
      </c>
      <c r="C66" s="31">
        <v>1.0</v>
      </c>
      <c r="D66" s="33" t="s">
        <v>20</v>
      </c>
      <c r="E66" s="34">
        <v>46068.0</v>
      </c>
      <c r="F66" s="1"/>
    </row>
    <row r="67" ht="15.75" customHeight="1">
      <c r="A67" s="21"/>
      <c r="B67" s="29" t="s">
        <v>153</v>
      </c>
      <c r="C67" s="31">
        <v>4.0</v>
      </c>
      <c r="D67" s="33" t="s">
        <v>20</v>
      </c>
      <c r="E67" s="34">
        <v>46069.0</v>
      </c>
      <c r="F67" s="1"/>
    </row>
    <row r="68" ht="15.75" customHeight="1">
      <c r="A68" s="21"/>
      <c r="B68" s="29" t="s">
        <v>120</v>
      </c>
      <c r="C68" s="31">
        <v>12.0</v>
      </c>
      <c r="D68" s="33" t="s">
        <v>20</v>
      </c>
      <c r="E68" s="34">
        <v>46070.0</v>
      </c>
      <c r="F68" s="1"/>
    </row>
    <row r="69" ht="15.75" customHeight="1">
      <c r="A69" s="21"/>
      <c r="B69" s="29" t="s">
        <v>157</v>
      </c>
      <c r="C69" s="31">
        <v>5.0</v>
      </c>
      <c r="D69" s="33" t="s">
        <v>20</v>
      </c>
      <c r="E69" s="34">
        <v>46071.0</v>
      </c>
      <c r="F69" s="1"/>
    </row>
    <row r="70" ht="15.75" customHeight="1">
      <c r="A70" s="21"/>
      <c r="B70" s="29" t="s">
        <v>159</v>
      </c>
      <c r="C70" s="31">
        <v>3.0</v>
      </c>
      <c r="D70" s="33" t="s">
        <v>20</v>
      </c>
      <c r="E70" s="34">
        <v>46072.0</v>
      </c>
      <c r="F70" s="1"/>
    </row>
    <row r="71" ht="15.75" customHeight="1">
      <c r="A71" s="21"/>
      <c r="B71" s="29" t="s">
        <v>162</v>
      </c>
      <c r="C71" s="31">
        <v>3.0</v>
      </c>
      <c r="D71" s="33" t="s">
        <v>20</v>
      </c>
      <c r="E71" s="34">
        <v>46073.0</v>
      </c>
      <c r="F71" s="1"/>
    </row>
    <row r="72" ht="15.75" customHeight="1">
      <c r="A72" s="21"/>
      <c r="B72" s="29" t="s">
        <v>50</v>
      </c>
      <c r="C72" s="31">
        <v>13.0</v>
      </c>
      <c r="D72" s="33" t="s">
        <v>20</v>
      </c>
      <c r="E72" s="34">
        <v>46074.0</v>
      </c>
      <c r="F72" s="1"/>
    </row>
    <row r="73" ht="15.75" customHeight="1">
      <c r="A73" s="21"/>
      <c r="B73" s="29" t="s">
        <v>165</v>
      </c>
      <c r="C73" s="31">
        <v>11.0</v>
      </c>
      <c r="D73" s="33" t="s">
        <v>20</v>
      </c>
      <c r="E73" s="34">
        <v>46065.0</v>
      </c>
      <c r="F73" s="1"/>
    </row>
    <row r="74" ht="15.75" customHeight="1">
      <c r="A74" s="21"/>
      <c r="B74" s="29" t="s">
        <v>168</v>
      </c>
      <c r="C74" s="31">
        <v>5.0</v>
      </c>
      <c r="D74" s="33" t="s">
        <v>20</v>
      </c>
      <c r="E74" s="34">
        <v>46066.0</v>
      </c>
      <c r="F74" s="1"/>
    </row>
    <row r="75" ht="15.75" customHeight="1">
      <c r="A75" s="21"/>
      <c r="B75" s="29" t="s">
        <v>170</v>
      </c>
      <c r="C75" s="31">
        <v>15.0</v>
      </c>
      <c r="D75" s="33" t="s">
        <v>20</v>
      </c>
      <c r="E75" s="34">
        <v>46067.0</v>
      </c>
      <c r="F75" s="1"/>
    </row>
    <row r="76" ht="15.75" customHeight="1">
      <c r="A76" s="21"/>
      <c r="B76" s="29" t="s">
        <v>53</v>
      </c>
      <c r="C76" s="31">
        <v>19.0</v>
      </c>
      <c r="D76" s="33" t="s">
        <v>20</v>
      </c>
      <c r="E76" s="34">
        <v>46068.0</v>
      </c>
      <c r="F76" s="1"/>
    </row>
    <row r="77" ht="15.75" customHeight="1">
      <c r="A77" s="21"/>
      <c r="B77" s="29" t="s">
        <v>37</v>
      </c>
      <c r="C77" s="31">
        <v>21.0</v>
      </c>
      <c r="D77" s="33" t="s">
        <v>20</v>
      </c>
      <c r="E77" s="34">
        <v>46069.0</v>
      </c>
      <c r="F77" s="1"/>
    </row>
    <row r="78" ht="15.75" customHeight="1">
      <c r="A78" s="21"/>
      <c r="B78" s="29" t="s">
        <v>42</v>
      </c>
      <c r="C78" s="31">
        <v>4.0</v>
      </c>
      <c r="D78" s="33" t="s">
        <v>20</v>
      </c>
      <c r="E78" s="34">
        <v>46070.0</v>
      </c>
      <c r="F78" s="1"/>
    </row>
    <row r="79" ht="15.75" customHeight="1">
      <c r="A79" s="21"/>
      <c r="B79" s="29" t="s">
        <v>174</v>
      </c>
      <c r="C79" s="31">
        <v>9.0</v>
      </c>
      <c r="D79" s="33" t="s">
        <v>20</v>
      </c>
      <c r="E79" s="34">
        <v>46071.0</v>
      </c>
      <c r="F79" s="1"/>
    </row>
    <row r="80" ht="15.75" customHeight="1">
      <c r="A80" s="21"/>
      <c r="B80" s="29" t="s">
        <v>175</v>
      </c>
      <c r="C80" s="31">
        <v>4.0</v>
      </c>
      <c r="D80" s="33" t="s">
        <v>20</v>
      </c>
      <c r="E80" s="34">
        <v>46072.0</v>
      </c>
      <c r="F80" s="1"/>
    </row>
    <row r="81" ht="15.75" customHeight="1">
      <c r="A81" s="21"/>
      <c r="B81" s="29" t="s">
        <v>80</v>
      </c>
      <c r="C81" s="31">
        <v>7.0</v>
      </c>
      <c r="D81" s="33" t="s">
        <v>20</v>
      </c>
      <c r="E81" s="34">
        <v>46073.0</v>
      </c>
      <c r="F81" s="1"/>
    </row>
    <row r="82" ht="15.75" customHeight="1">
      <c r="A82" s="21"/>
      <c r="B82" s="29" t="s">
        <v>119</v>
      </c>
      <c r="C82" s="31">
        <v>18.0</v>
      </c>
      <c r="D82" s="33" t="s">
        <v>20</v>
      </c>
      <c r="E82" s="34">
        <v>46074.0</v>
      </c>
      <c r="F82" s="1"/>
    </row>
    <row r="83" ht="15.75" customHeight="1">
      <c r="A83" s="21"/>
      <c r="B83" s="29" t="s">
        <v>112</v>
      </c>
      <c r="C83" s="31">
        <v>1.0</v>
      </c>
      <c r="D83" s="33" t="s">
        <v>20</v>
      </c>
      <c r="E83" s="34">
        <v>46075.0</v>
      </c>
      <c r="F83" s="1"/>
    </row>
    <row r="84" ht="15.75" customHeight="1">
      <c r="A84" s="21"/>
      <c r="B84" s="29" t="s">
        <v>180</v>
      </c>
      <c r="C84" s="31">
        <v>3.0</v>
      </c>
      <c r="D84" s="33" t="s">
        <v>20</v>
      </c>
      <c r="E84" s="34">
        <v>46065.0</v>
      </c>
      <c r="F84" s="1"/>
    </row>
    <row r="85" ht="15.75" customHeight="1">
      <c r="A85" s="21"/>
      <c r="B85" s="29" t="s">
        <v>182</v>
      </c>
      <c r="C85" s="31">
        <v>3.0</v>
      </c>
      <c r="D85" s="33" t="s">
        <v>20</v>
      </c>
      <c r="E85" s="34">
        <v>46066.0</v>
      </c>
      <c r="F85" s="1"/>
    </row>
    <row r="86" ht="15.75" customHeight="1">
      <c r="A86" s="21"/>
      <c r="B86" s="29" t="s">
        <v>32</v>
      </c>
      <c r="C86" s="31">
        <v>11.0</v>
      </c>
      <c r="D86" s="33" t="s">
        <v>20</v>
      </c>
      <c r="E86" s="34">
        <v>46067.0</v>
      </c>
      <c r="F86" s="1"/>
    </row>
    <row r="87" ht="15.75" customHeight="1">
      <c r="A87" s="21"/>
      <c r="B87" s="29" t="s">
        <v>130</v>
      </c>
      <c r="C87" s="31">
        <v>9.0</v>
      </c>
      <c r="D87" s="33" t="s">
        <v>20</v>
      </c>
      <c r="E87" s="34">
        <v>46068.0</v>
      </c>
      <c r="F87" s="1"/>
    </row>
    <row r="88" ht="15.75" customHeight="1">
      <c r="A88" s="21"/>
      <c r="B88" s="29" t="s">
        <v>62</v>
      </c>
      <c r="C88" s="31">
        <v>5.0</v>
      </c>
      <c r="D88" s="33" t="s">
        <v>20</v>
      </c>
      <c r="E88" s="34">
        <v>46069.0</v>
      </c>
      <c r="F88" s="1"/>
    </row>
    <row r="89" ht="15.75" customHeight="1">
      <c r="A89" s="21"/>
      <c r="B89" s="29" t="s">
        <v>61</v>
      </c>
      <c r="C89" s="31">
        <v>2.0</v>
      </c>
      <c r="D89" s="33" t="s">
        <v>20</v>
      </c>
      <c r="E89" s="34">
        <v>46070.0</v>
      </c>
      <c r="F89" s="1"/>
    </row>
    <row r="90" ht="15.75" customHeight="1">
      <c r="A90" s="21"/>
      <c r="B90" s="29" t="s">
        <v>63</v>
      </c>
      <c r="C90" s="31">
        <v>2.0</v>
      </c>
      <c r="D90" s="33" t="s">
        <v>20</v>
      </c>
      <c r="E90" s="34">
        <v>46071.0</v>
      </c>
      <c r="F90" s="1"/>
    </row>
    <row r="91" ht="15.75" customHeight="1">
      <c r="A91" s="21"/>
      <c r="B91" s="29" t="s">
        <v>190</v>
      </c>
      <c r="C91" s="31">
        <v>4.0</v>
      </c>
      <c r="D91" s="33" t="s">
        <v>20</v>
      </c>
      <c r="E91" s="34">
        <v>46072.0</v>
      </c>
      <c r="F91" s="1"/>
    </row>
    <row r="92" ht="15.75" customHeight="1">
      <c r="A92" s="21"/>
      <c r="B92" s="29" t="s">
        <v>14</v>
      </c>
      <c r="C92" s="31">
        <v>28.0</v>
      </c>
      <c r="D92" s="33" t="s">
        <v>20</v>
      </c>
      <c r="E92" s="34">
        <v>46073.0</v>
      </c>
      <c r="F92" s="1"/>
    </row>
    <row r="93" ht="15.75" customHeight="1">
      <c r="A93" s="21"/>
      <c r="B93" s="29" t="s">
        <v>41</v>
      </c>
      <c r="C93" s="31">
        <v>5.0</v>
      </c>
      <c r="D93" s="33" t="s">
        <v>20</v>
      </c>
      <c r="E93" s="34">
        <v>46065.0</v>
      </c>
      <c r="F93" s="1"/>
    </row>
    <row r="94" ht="15.75" customHeight="1">
      <c r="A94" s="21"/>
      <c r="B94" s="29" t="s">
        <v>136</v>
      </c>
      <c r="C94" s="31">
        <v>3.0</v>
      </c>
      <c r="D94" s="33" t="s">
        <v>20</v>
      </c>
      <c r="E94" s="34">
        <v>46066.0</v>
      </c>
      <c r="F94" s="1"/>
    </row>
    <row r="95" ht="15.75" customHeight="1">
      <c r="A95" s="21"/>
      <c r="B95" s="29" t="s">
        <v>197</v>
      </c>
      <c r="C95" s="31">
        <v>5.0</v>
      </c>
      <c r="D95" s="33" t="s">
        <v>20</v>
      </c>
      <c r="E95" s="34">
        <v>46067.0</v>
      </c>
      <c r="F95" s="1"/>
    </row>
    <row r="96" ht="15.75" customHeight="1">
      <c r="A96" s="21"/>
      <c r="B96" s="29" t="s">
        <v>138</v>
      </c>
      <c r="C96" s="31">
        <v>5.0</v>
      </c>
      <c r="D96" s="33" t="s">
        <v>20</v>
      </c>
      <c r="E96" s="34">
        <v>46068.0</v>
      </c>
      <c r="F96" s="1"/>
    </row>
    <row r="97" ht="15.75" customHeight="1">
      <c r="A97" s="21"/>
      <c r="B97" s="29" t="s">
        <v>163</v>
      </c>
      <c r="C97" s="31">
        <v>1.0</v>
      </c>
      <c r="D97" s="33" t="s">
        <v>20</v>
      </c>
      <c r="E97" s="34">
        <v>46069.0</v>
      </c>
      <c r="F97" s="1"/>
    </row>
    <row r="98" ht="15.75" customHeight="1">
      <c r="A98" s="21"/>
      <c r="B98" s="29" t="s">
        <v>21</v>
      </c>
      <c r="C98" s="31">
        <v>30.0</v>
      </c>
      <c r="D98" s="33" t="s">
        <v>20</v>
      </c>
      <c r="E98" s="34">
        <v>46070.0</v>
      </c>
      <c r="F98" s="1"/>
    </row>
    <row r="99" ht="15.75" customHeight="1">
      <c r="A99" s="21"/>
      <c r="B99" s="29" t="s">
        <v>123</v>
      </c>
      <c r="C99" s="31">
        <v>11.0</v>
      </c>
      <c r="D99" s="33" t="s">
        <v>20</v>
      </c>
      <c r="E99" s="34">
        <v>46071.0</v>
      </c>
      <c r="F99" s="1"/>
    </row>
    <row r="100" ht="15.75" customHeight="1">
      <c r="A100" s="21"/>
      <c r="B100" s="29" t="s">
        <v>95</v>
      </c>
      <c r="C100" s="31">
        <v>4.0</v>
      </c>
      <c r="D100" s="33" t="s">
        <v>20</v>
      </c>
      <c r="E100" s="34">
        <v>46072.0</v>
      </c>
      <c r="F100" s="1"/>
    </row>
    <row r="101" ht="15.75" customHeight="1">
      <c r="A101" s="21"/>
      <c r="B101" s="29" t="s">
        <v>206</v>
      </c>
      <c r="C101" s="31">
        <v>2.0</v>
      </c>
      <c r="D101" s="33" t="s">
        <v>20</v>
      </c>
      <c r="E101" s="34">
        <v>46065.0</v>
      </c>
      <c r="F101" s="1"/>
    </row>
    <row r="102" ht="15.75" customHeight="1">
      <c r="A102" s="21"/>
      <c r="B102" s="29" t="s">
        <v>70</v>
      </c>
      <c r="C102" s="31">
        <v>7.0</v>
      </c>
      <c r="D102" s="33" t="s">
        <v>20</v>
      </c>
      <c r="E102" s="34">
        <v>46066.0</v>
      </c>
      <c r="F102" s="1"/>
    </row>
    <row r="103" ht="15.75" customHeight="1">
      <c r="A103" s="21"/>
      <c r="B103" s="29" t="s">
        <v>47</v>
      </c>
      <c r="C103" s="31">
        <v>0.0</v>
      </c>
      <c r="D103" s="33" t="s">
        <v>20</v>
      </c>
      <c r="E103" s="34">
        <v>46067.0</v>
      </c>
      <c r="F103" s="1"/>
    </row>
    <row r="104" ht="15.75" customHeight="1">
      <c r="A104" s="21"/>
      <c r="B104" s="29" t="s">
        <v>149</v>
      </c>
      <c r="C104" s="31">
        <v>22.0</v>
      </c>
      <c r="D104" s="33" t="s">
        <v>20</v>
      </c>
      <c r="E104" s="34">
        <v>46068.0</v>
      </c>
      <c r="F104" s="1"/>
    </row>
    <row r="105" ht="15.75" customHeight="1">
      <c r="A105" s="21"/>
      <c r="B105" s="29" t="s">
        <v>144</v>
      </c>
      <c r="C105" s="31">
        <v>26.0</v>
      </c>
      <c r="D105" s="33" t="s">
        <v>20</v>
      </c>
      <c r="E105" s="34">
        <v>46074.0</v>
      </c>
      <c r="F105" s="1"/>
    </row>
    <row r="106" ht="15.75" customHeight="1">
      <c r="A106" s="21"/>
      <c r="B106" s="29" t="s">
        <v>146</v>
      </c>
      <c r="C106" s="31">
        <v>35.0</v>
      </c>
      <c r="D106" s="33" t="s">
        <v>20</v>
      </c>
      <c r="E106" s="34">
        <v>46074.0</v>
      </c>
      <c r="F106" s="1"/>
    </row>
    <row r="107" ht="15.75" customHeight="1">
      <c r="A107" s="21"/>
      <c r="B107" s="29" t="s">
        <v>150</v>
      </c>
      <c r="C107" s="31">
        <v>2.0</v>
      </c>
      <c r="D107" s="33" t="s">
        <v>20</v>
      </c>
      <c r="E107" s="34">
        <v>46074.0</v>
      </c>
      <c r="F107" s="1"/>
    </row>
    <row r="108" ht="15.75" customHeight="1">
      <c r="A108" s="21"/>
      <c r="B108" s="29" t="s">
        <v>151</v>
      </c>
      <c r="C108" s="31">
        <v>2.0</v>
      </c>
      <c r="D108" s="33" t="s">
        <v>20</v>
      </c>
      <c r="E108" s="34">
        <v>46074.0</v>
      </c>
      <c r="F108" s="1"/>
    </row>
    <row r="109" ht="15.75" customHeight="1">
      <c r="A109" s="21"/>
      <c r="B109" s="29" t="s">
        <v>154</v>
      </c>
      <c r="C109" s="31">
        <v>7.0</v>
      </c>
      <c r="D109" s="33" t="s">
        <v>20</v>
      </c>
      <c r="E109" s="34">
        <v>46074.0</v>
      </c>
      <c r="F109" s="1"/>
    </row>
    <row r="110" ht="15.75" customHeight="1">
      <c r="A110" s="21"/>
      <c r="B110" s="29" t="s">
        <v>155</v>
      </c>
      <c r="C110" s="31">
        <v>12.0</v>
      </c>
      <c r="D110" s="33" t="s">
        <v>20</v>
      </c>
      <c r="E110" s="34">
        <v>46074.0</v>
      </c>
      <c r="F110" s="1"/>
    </row>
    <row r="111" ht="15.75" customHeight="1">
      <c r="A111" s="21"/>
      <c r="B111" s="29" t="s">
        <v>221</v>
      </c>
      <c r="C111" s="31">
        <v>21.0</v>
      </c>
      <c r="D111" s="33" t="s">
        <v>20</v>
      </c>
      <c r="E111" s="34">
        <v>46074.0</v>
      </c>
      <c r="F111" s="1"/>
    </row>
    <row r="112" ht="15.75" customHeight="1">
      <c r="A112" s="21"/>
      <c r="B112" s="29" t="s">
        <v>186</v>
      </c>
      <c r="C112" s="31">
        <v>18.0</v>
      </c>
      <c r="D112" s="33" t="s">
        <v>20</v>
      </c>
      <c r="E112" s="34">
        <v>46074.0</v>
      </c>
      <c r="F112" s="1"/>
    </row>
    <row r="113" ht="15.75" customHeight="1">
      <c r="A113" s="21"/>
      <c r="B113" s="29" t="s">
        <v>99</v>
      </c>
      <c r="C113" s="31">
        <v>26.0</v>
      </c>
      <c r="D113" s="33" t="s">
        <v>20</v>
      </c>
      <c r="E113" s="34">
        <v>46074.0</v>
      </c>
      <c r="F113" s="1"/>
    </row>
    <row r="114" ht="15.75" customHeight="1">
      <c r="A114" s="21"/>
      <c r="B114" s="29" t="s">
        <v>212</v>
      </c>
      <c r="C114" s="31">
        <v>2.0</v>
      </c>
      <c r="D114" s="33" t="s">
        <v>20</v>
      </c>
      <c r="E114" s="34">
        <v>46074.0</v>
      </c>
      <c r="F114" s="1"/>
    </row>
    <row r="115" ht="15.75" customHeight="1">
      <c r="A115" s="21"/>
      <c r="B115" s="29" t="s">
        <v>192</v>
      </c>
      <c r="C115" s="31">
        <v>7.0</v>
      </c>
      <c r="D115" s="33" t="s">
        <v>20</v>
      </c>
      <c r="E115" s="34">
        <v>46074.0</v>
      </c>
      <c r="F115" s="1"/>
    </row>
    <row r="116" ht="15.75" customHeight="1">
      <c r="A116" s="21"/>
      <c r="B116" s="29" t="s">
        <v>193</v>
      </c>
      <c r="C116" s="31">
        <v>10.0</v>
      </c>
      <c r="D116" s="33" t="s">
        <v>20</v>
      </c>
      <c r="E116" s="34">
        <v>46074.0</v>
      </c>
      <c r="F116" s="1"/>
    </row>
    <row r="117" ht="15.75" customHeight="1">
      <c r="A117" s="21"/>
      <c r="B117" s="29" t="s">
        <v>116</v>
      </c>
      <c r="C117" s="31">
        <v>10.0</v>
      </c>
      <c r="D117" s="33" t="s">
        <v>20</v>
      </c>
      <c r="E117" s="34">
        <v>46074.0</v>
      </c>
      <c r="F117" s="1"/>
    </row>
    <row r="118" ht="15.75" customHeight="1">
      <c r="A118" s="21"/>
      <c r="B118" s="29" t="s">
        <v>226</v>
      </c>
      <c r="C118" s="31">
        <v>27.0</v>
      </c>
      <c r="D118" s="33" t="s">
        <v>20</v>
      </c>
      <c r="E118" s="34">
        <v>46074.0</v>
      </c>
      <c r="F118" s="1"/>
    </row>
    <row r="119" ht="15.75" customHeight="1">
      <c r="A119" s="21"/>
      <c r="B119" s="29" t="s">
        <v>92</v>
      </c>
      <c r="C119" s="31">
        <v>14.0</v>
      </c>
      <c r="D119" s="33" t="s">
        <v>20</v>
      </c>
      <c r="E119" s="34">
        <v>46074.0</v>
      </c>
      <c r="F119" s="1"/>
    </row>
    <row r="120" ht="15.75" customHeight="1">
      <c r="A120" s="21"/>
      <c r="B120" s="29" t="s">
        <v>227</v>
      </c>
      <c r="C120" s="31">
        <v>4.0</v>
      </c>
      <c r="D120" s="33" t="s">
        <v>20</v>
      </c>
      <c r="E120" s="34">
        <v>46074.0</v>
      </c>
      <c r="F120" s="1"/>
    </row>
    <row r="121" ht="15.75" customHeight="1">
      <c r="A121" s="21"/>
      <c r="B121" s="29" t="s">
        <v>40</v>
      </c>
      <c r="C121" s="31">
        <v>6.0</v>
      </c>
      <c r="D121" s="33" t="s">
        <v>20</v>
      </c>
      <c r="E121" s="34">
        <v>46074.0</v>
      </c>
      <c r="F121" s="1"/>
    </row>
    <row r="122" ht="15.75" customHeight="1">
      <c r="A122" s="21"/>
      <c r="B122" s="29" t="s">
        <v>52</v>
      </c>
      <c r="C122" s="31">
        <v>9.0</v>
      </c>
      <c r="D122" s="33" t="s">
        <v>20</v>
      </c>
      <c r="E122" s="34">
        <v>46074.0</v>
      </c>
      <c r="F122" s="1"/>
    </row>
    <row r="123" ht="15.75" customHeight="1">
      <c r="A123" s="21"/>
      <c r="B123" s="29" t="s">
        <v>36</v>
      </c>
      <c r="C123" s="31">
        <v>10.0</v>
      </c>
      <c r="D123" s="33" t="s">
        <v>20</v>
      </c>
      <c r="E123" s="34">
        <v>46074.0</v>
      </c>
      <c r="F123" s="1"/>
    </row>
    <row r="124" ht="15.75" customHeight="1">
      <c r="A124" s="21"/>
      <c r="B124" s="29" t="s">
        <v>33</v>
      </c>
      <c r="C124" s="31">
        <v>4.0</v>
      </c>
      <c r="D124" s="33" t="s">
        <v>20</v>
      </c>
      <c r="E124" s="34">
        <v>46074.0</v>
      </c>
      <c r="F124" s="1"/>
    </row>
    <row r="125" ht="15.75" customHeight="1">
      <c r="A125" s="21"/>
      <c r="B125" s="29" t="s">
        <v>78</v>
      </c>
      <c r="C125" s="31">
        <v>4.0</v>
      </c>
      <c r="D125" s="33" t="s">
        <v>20</v>
      </c>
      <c r="E125" s="34">
        <v>46074.0</v>
      </c>
      <c r="F125" s="1"/>
    </row>
    <row r="126" ht="15.75" customHeight="1">
      <c r="A126" s="21"/>
      <c r="B126" s="29" t="s">
        <v>179</v>
      </c>
      <c r="C126" s="31">
        <v>6.0</v>
      </c>
      <c r="D126" s="33" t="s">
        <v>20</v>
      </c>
      <c r="E126" s="34">
        <v>46074.0</v>
      </c>
      <c r="F126" s="1"/>
    </row>
    <row r="127" ht="15.75" customHeight="1">
      <c r="A127" s="21"/>
      <c r="B127" s="29" t="s">
        <v>124</v>
      </c>
      <c r="C127" s="31">
        <v>8.0</v>
      </c>
      <c r="D127" s="33" t="s">
        <v>20</v>
      </c>
      <c r="E127" s="34">
        <v>46074.0</v>
      </c>
      <c r="F127" s="1"/>
    </row>
    <row r="128" ht="15.75" customHeight="1">
      <c r="A128" s="21"/>
      <c r="B128" s="29" t="s">
        <v>126</v>
      </c>
      <c r="C128" s="31">
        <v>5.0</v>
      </c>
      <c r="D128" s="33" t="s">
        <v>20</v>
      </c>
      <c r="E128" s="34">
        <v>46074.0</v>
      </c>
      <c r="F128" s="1"/>
    </row>
    <row r="129" ht="15.75" customHeight="1">
      <c r="A129" s="21"/>
      <c r="B129" s="29" t="s">
        <v>128</v>
      </c>
      <c r="C129" s="31">
        <v>8.0</v>
      </c>
      <c r="D129" s="33" t="s">
        <v>20</v>
      </c>
      <c r="E129" s="34">
        <v>46074.0</v>
      </c>
      <c r="F129" s="1"/>
    </row>
    <row r="130" ht="15.75" customHeight="1">
      <c r="A130" s="21"/>
      <c r="B130" s="29" t="s">
        <v>83</v>
      </c>
      <c r="C130" s="31">
        <v>5.0</v>
      </c>
      <c r="D130" s="33" t="s">
        <v>20</v>
      </c>
      <c r="E130" s="34">
        <v>46074.0</v>
      </c>
      <c r="F130" s="1"/>
    </row>
    <row r="131" ht="15.75" customHeight="1">
      <c r="A131" s="21"/>
      <c r="B131" s="29" t="s">
        <v>210</v>
      </c>
      <c r="C131" s="31">
        <v>2.0</v>
      </c>
      <c r="D131" s="33" t="s">
        <v>20</v>
      </c>
      <c r="E131" s="34">
        <v>46074.0</v>
      </c>
      <c r="F131" s="1"/>
    </row>
    <row r="132" ht="15.75" customHeight="1">
      <c r="A132" s="21"/>
      <c r="B132" s="29" t="s">
        <v>240</v>
      </c>
      <c r="C132" s="31">
        <v>23.0</v>
      </c>
      <c r="D132" s="33" t="s">
        <v>20</v>
      </c>
      <c r="E132" s="34">
        <v>46074.0</v>
      </c>
      <c r="F132" s="1"/>
    </row>
    <row r="133" ht="15.75" customHeight="1">
      <c r="A133" s="21"/>
      <c r="B133" s="29" t="s">
        <v>224</v>
      </c>
      <c r="C133" s="31">
        <v>7.0</v>
      </c>
      <c r="D133" s="33" t="s">
        <v>20</v>
      </c>
      <c r="E133" s="34">
        <v>46074.0</v>
      </c>
      <c r="F133" s="1"/>
    </row>
    <row r="134" ht="15.75" customHeight="1">
      <c r="A134" s="21"/>
      <c r="B134" s="29" t="s">
        <v>223</v>
      </c>
      <c r="C134" s="31">
        <v>3.0</v>
      </c>
      <c r="D134" s="33" t="s">
        <v>20</v>
      </c>
      <c r="E134" s="34">
        <v>46074.0</v>
      </c>
      <c r="F134" s="1"/>
    </row>
    <row r="135" ht="15.75" customHeight="1">
      <c r="A135" s="21"/>
      <c r="B135" s="29" t="s">
        <v>141</v>
      </c>
      <c r="C135" s="31">
        <v>7.0</v>
      </c>
      <c r="D135" s="33" t="s">
        <v>20</v>
      </c>
      <c r="E135" s="34">
        <v>46074.0</v>
      </c>
      <c r="F135" s="1"/>
    </row>
    <row r="136" ht="15.75" customHeight="1">
      <c r="A136" s="21"/>
      <c r="B136" s="29" t="s">
        <v>244</v>
      </c>
      <c r="C136" s="31">
        <v>1.0</v>
      </c>
      <c r="D136" s="33" t="s">
        <v>20</v>
      </c>
      <c r="E136" s="34">
        <v>46074.0</v>
      </c>
      <c r="F136" s="1"/>
    </row>
    <row r="137" ht="15.75" customHeight="1">
      <c r="A137" s="21"/>
      <c r="B137" s="29" t="s">
        <v>246</v>
      </c>
      <c r="C137" s="31">
        <v>3.0</v>
      </c>
      <c r="D137" s="33" t="s">
        <v>20</v>
      </c>
      <c r="E137" s="34">
        <v>46074.0</v>
      </c>
      <c r="F137" s="1"/>
    </row>
    <row r="138" ht="15.75" customHeight="1">
      <c r="A138" s="21"/>
      <c r="B138" s="29" t="s">
        <v>249</v>
      </c>
      <c r="C138" s="31">
        <v>4.0</v>
      </c>
      <c r="D138" s="33" t="s">
        <v>20</v>
      </c>
      <c r="E138" s="34">
        <v>46074.0</v>
      </c>
      <c r="F138" s="1"/>
    </row>
    <row r="139" ht="15.75" customHeight="1">
      <c r="A139" s="21"/>
      <c r="B139" s="29" t="s">
        <v>31</v>
      </c>
      <c r="C139" s="31">
        <v>5.0</v>
      </c>
      <c r="D139" s="33" t="s">
        <v>20</v>
      </c>
      <c r="E139" s="34">
        <v>46074.0</v>
      </c>
      <c r="F139" s="1"/>
    </row>
    <row r="140" ht="15.75" customHeight="1">
      <c r="A140" s="21"/>
      <c r="B140" s="29" t="s">
        <v>252</v>
      </c>
      <c r="C140" s="31">
        <v>5.0</v>
      </c>
      <c r="D140" s="33" t="s">
        <v>20</v>
      </c>
      <c r="E140" s="34">
        <v>46074.0</v>
      </c>
      <c r="F140" s="1"/>
    </row>
    <row r="141" ht="15.75" customHeight="1">
      <c r="A141" s="21"/>
      <c r="B141" s="29" t="s">
        <v>142</v>
      </c>
      <c r="C141" s="31">
        <v>4.0</v>
      </c>
      <c r="D141" s="33" t="s">
        <v>20</v>
      </c>
      <c r="E141" s="34">
        <v>46074.0</v>
      </c>
      <c r="F141" s="1"/>
    </row>
    <row r="142" ht="15.75" customHeight="1">
      <c r="A142" s="21"/>
      <c r="B142" s="29" t="s">
        <v>139</v>
      </c>
      <c r="C142" s="31">
        <v>1.0</v>
      </c>
      <c r="D142" s="33" t="s">
        <v>20</v>
      </c>
      <c r="E142" s="34">
        <v>46074.0</v>
      </c>
      <c r="F142" s="1"/>
    </row>
    <row r="143" ht="15.75" customHeight="1">
      <c r="A143" s="21"/>
      <c r="B143" s="29" t="s">
        <v>217</v>
      </c>
      <c r="C143" s="31">
        <v>4.0</v>
      </c>
      <c r="D143" s="33" t="s">
        <v>20</v>
      </c>
      <c r="E143" s="34">
        <v>46074.0</v>
      </c>
      <c r="F143" s="1"/>
    </row>
    <row r="144" ht="15.75" customHeight="1">
      <c r="A144" s="21"/>
      <c r="B144" s="29" t="s">
        <v>219</v>
      </c>
      <c r="C144" s="31">
        <v>5.0</v>
      </c>
      <c r="D144" s="33" t="s">
        <v>20</v>
      </c>
      <c r="E144" s="34">
        <v>46074.0</v>
      </c>
      <c r="F144" s="1"/>
    </row>
    <row r="145" ht="15.75" customHeight="1">
      <c r="A145" s="21"/>
      <c r="B145" s="29" t="s">
        <v>67</v>
      </c>
      <c r="C145" s="31">
        <v>10.0</v>
      </c>
      <c r="D145" s="33" t="s">
        <v>20</v>
      </c>
      <c r="E145" s="34">
        <v>46074.0</v>
      </c>
      <c r="F145" s="1"/>
    </row>
    <row r="146" ht="15.75" customHeight="1">
      <c r="A146" s="21"/>
      <c r="B146" s="29" t="s">
        <v>195</v>
      </c>
      <c r="C146" s="31">
        <v>8.0</v>
      </c>
      <c r="D146" s="33" t="s">
        <v>20</v>
      </c>
      <c r="E146" s="34">
        <v>46074.0</v>
      </c>
      <c r="F146" s="1"/>
    </row>
    <row r="147" ht="15.75" customHeight="1">
      <c r="A147" s="21"/>
      <c r="B147" s="29" t="s">
        <v>213</v>
      </c>
      <c r="C147" s="31">
        <v>2.0</v>
      </c>
      <c r="D147" s="33" t="s">
        <v>20</v>
      </c>
      <c r="E147" s="34">
        <v>46074.0</v>
      </c>
      <c r="F147" s="1"/>
    </row>
    <row r="148" ht="15.75" customHeight="1">
      <c r="A148" s="21"/>
      <c r="B148" s="29" t="s">
        <v>215</v>
      </c>
      <c r="C148" s="31">
        <v>4.0</v>
      </c>
      <c r="D148" s="33" t="s">
        <v>20</v>
      </c>
      <c r="E148" s="34">
        <v>46074.0</v>
      </c>
      <c r="F148" s="1"/>
    </row>
    <row r="149" ht="15.75" customHeight="1">
      <c r="A149" s="21"/>
      <c r="B149" s="29" t="s">
        <v>243</v>
      </c>
      <c r="C149" s="31">
        <v>4.0</v>
      </c>
      <c r="D149" s="33" t="s">
        <v>20</v>
      </c>
      <c r="E149" s="34">
        <v>46074.0</v>
      </c>
      <c r="F149" s="1"/>
    </row>
    <row r="150" ht="15.75" customHeight="1">
      <c r="A150" s="21"/>
      <c r="B150" s="29" t="s">
        <v>203</v>
      </c>
      <c r="C150" s="31">
        <v>6.0</v>
      </c>
      <c r="D150" s="33" t="s">
        <v>20</v>
      </c>
      <c r="E150" s="34">
        <v>46074.0</v>
      </c>
      <c r="F150" s="1"/>
    </row>
    <row r="151" ht="15.75" customHeight="1">
      <c r="A151" s="21"/>
      <c r="B151" s="29" t="s">
        <v>202</v>
      </c>
      <c r="C151" s="31">
        <v>12.0</v>
      </c>
      <c r="D151" s="33" t="s">
        <v>20</v>
      </c>
      <c r="E151" s="34">
        <v>46074.0</v>
      </c>
      <c r="F151" s="1"/>
    </row>
    <row r="152" ht="15.75" customHeight="1">
      <c r="A152" s="21"/>
      <c r="B152" s="29" t="s">
        <v>245</v>
      </c>
      <c r="C152" s="31">
        <v>3.0</v>
      </c>
      <c r="D152" s="33" t="s">
        <v>20</v>
      </c>
      <c r="E152" s="34">
        <v>46074.0</v>
      </c>
      <c r="F152" s="1"/>
    </row>
    <row r="153" ht="15.75" customHeight="1">
      <c r="A153" s="21"/>
      <c r="B153" s="29" t="s">
        <v>251</v>
      </c>
      <c r="C153" s="31">
        <v>4.0</v>
      </c>
      <c r="D153" s="33" t="s">
        <v>20</v>
      </c>
      <c r="E153" s="34">
        <v>46074.0</v>
      </c>
      <c r="F153" s="1"/>
    </row>
    <row r="154" ht="15.75" customHeight="1">
      <c r="A154" s="21"/>
      <c r="B154" s="29" t="s">
        <v>59</v>
      </c>
      <c r="C154" s="31">
        <v>11.0</v>
      </c>
      <c r="D154" s="33" t="s">
        <v>20</v>
      </c>
      <c r="E154" s="34">
        <v>46074.0</v>
      </c>
      <c r="F154" s="1"/>
    </row>
    <row r="155" ht="15.75" customHeight="1">
      <c r="A155" s="21"/>
      <c r="B155" s="29" t="s">
        <v>28</v>
      </c>
      <c r="C155" s="31">
        <v>2.0</v>
      </c>
      <c r="D155" s="33" t="s">
        <v>20</v>
      </c>
      <c r="E155" s="34">
        <v>46074.0</v>
      </c>
      <c r="F155" s="1"/>
    </row>
    <row r="156" ht="15.75" customHeight="1">
      <c r="A156" s="21"/>
      <c r="B156" s="29" t="s">
        <v>23</v>
      </c>
      <c r="C156" s="31">
        <v>4.0</v>
      </c>
      <c r="D156" s="33" t="s">
        <v>20</v>
      </c>
      <c r="E156" s="34">
        <v>46074.0</v>
      </c>
      <c r="F156" s="1"/>
    </row>
    <row r="157" ht="15.75" customHeight="1">
      <c r="A157" s="21"/>
      <c r="B157" s="29" t="s">
        <v>152</v>
      </c>
      <c r="C157" s="31">
        <v>77.0</v>
      </c>
      <c r="D157" s="33" t="s">
        <v>20</v>
      </c>
      <c r="E157" s="34">
        <v>46074.0</v>
      </c>
      <c r="F157" s="1"/>
    </row>
    <row r="158" ht="15.75" customHeight="1">
      <c r="A158" s="21"/>
      <c r="B158" s="29" t="s">
        <v>134</v>
      </c>
      <c r="C158" s="31">
        <v>43.0</v>
      </c>
      <c r="D158" s="33" t="s">
        <v>20</v>
      </c>
      <c r="E158" s="34">
        <v>46074.0</v>
      </c>
      <c r="F158" s="1"/>
    </row>
    <row r="159" ht="15.75" customHeight="1">
      <c r="A159" s="21"/>
      <c r="B159" s="29" t="s">
        <v>117</v>
      </c>
      <c r="C159" s="31">
        <v>31.0</v>
      </c>
      <c r="D159" s="33" t="s">
        <v>20</v>
      </c>
      <c r="E159" s="34">
        <v>46074.0</v>
      </c>
      <c r="F159" s="1"/>
    </row>
    <row r="160" ht="15.75" customHeight="1">
      <c r="A160" s="21"/>
      <c r="B160" s="29" t="s">
        <v>135</v>
      </c>
      <c r="C160" s="31">
        <v>10.0</v>
      </c>
      <c r="D160" s="33" t="s">
        <v>20</v>
      </c>
      <c r="E160" s="34">
        <v>46074.0</v>
      </c>
      <c r="F160" s="1"/>
    </row>
    <row r="161" ht="15.75" customHeight="1">
      <c r="A161" s="21"/>
      <c r="B161" s="29" t="s">
        <v>137</v>
      </c>
      <c r="C161" s="31">
        <v>4.0</v>
      </c>
      <c r="D161" s="33" t="s">
        <v>20</v>
      </c>
      <c r="E161" s="34">
        <v>46074.0</v>
      </c>
      <c r="F161" s="1"/>
    </row>
    <row r="162" ht="15.75" customHeight="1">
      <c r="A162" s="21"/>
      <c r="B162" s="29" t="s">
        <v>133</v>
      </c>
      <c r="C162" s="31">
        <v>7.0</v>
      </c>
      <c r="D162" s="33" t="s">
        <v>20</v>
      </c>
      <c r="E162" s="34">
        <v>46074.0</v>
      </c>
      <c r="F162" s="1"/>
    </row>
    <row r="163" ht="15.75" customHeight="1">
      <c r="A163" s="21"/>
      <c r="B163" s="29" t="s">
        <v>235</v>
      </c>
      <c r="C163" s="31">
        <v>4.0</v>
      </c>
      <c r="D163" s="33" t="s">
        <v>20</v>
      </c>
      <c r="E163" s="34">
        <v>46074.0</v>
      </c>
      <c r="F163" s="1"/>
    </row>
    <row r="164" ht="15.75" customHeight="1">
      <c r="A164" s="21"/>
      <c r="B164" s="29" t="s">
        <v>234</v>
      </c>
      <c r="C164" s="31">
        <v>2.0</v>
      </c>
      <c r="D164" s="33" t="s">
        <v>20</v>
      </c>
      <c r="E164" s="34">
        <v>46074.0</v>
      </c>
      <c r="F164" s="1"/>
    </row>
    <row r="165" ht="15.75" customHeight="1">
      <c r="A165" s="21"/>
      <c r="B165" s="29" t="s">
        <v>255</v>
      </c>
      <c r="C165" s="31">
        <v>2.0</v>
      </c>
      <c r="D165" s="33" t="s">
        <v>20</v>
      </c>
      <c r="E165" s="34">
        <v>46074.0</v>
      </c>
      <c r="F165" s="1"/>
    </row>
    <row r="166" ht="15.75" customHeight="1">
      <c r="A166" s="21"/>
      <c r="B166" s="29" t="s">
        <v>254</v>
      </c>
      <c r="C166" s="31">
        <v>2.0</v>
      </c>
      <c r="D166" s="33" t="s">
        <v>20</v>
      </c>
      <c r="E166" s="34">
        <v>46074.0</v>
      </c>
      <c r="F166" s="1"/>
    </row>
    <row r="167" ht="15.75" customHeight="1">
      <c r="A167" s="21"/>
      <c r="B167" s="29" t="s">
        <v>52</v>
      </c>
      <c r="C167" s="31">
        <v>1.0</v>
      </c>
      <c r="D167" s="33" t="s">
        <v>20</v>
      </c>
      <c r="E167" s="34">
        <v>46074.0</v>
      </c>
      <c r="F167" s="1"/>
    </row>
    <row r="168" ht="15.75" customHeight="1">
      <c r="A168" s="21"/>
      <c r="B168" s="29" t="s">
        <v>171</v>
      </c>
      <c r="C168" s="31">
        <v>1.0</v>
      </c>
      <c r="D168" s="33" t="s">
        <v>20</v>
      </c>
      <c r="E168" s="34">
        <v>46074.0</v>
      </c>
      <c r="F168" s="1"/>
    </row>
    <row r="169" ht="15.75" customHeight="1">
      <c r="A169" s="21"/>
      <c r="B169" s="29" t="s">
        <v>266</v>
      </c>
      <c r="C169" s="31">
        <v>1.0</v>
      </c>
      <c r="D169" s="33" t="s">
        <v>20</v>
      </c>
      <c r="E169" s="34">
        <v>46074.0</v>
      </c>
      <c r="F169" s="1"/>
    </row>
    <row r="170" ht="15.75" customHeight="1">
      <c r="A170" s="21"/>
      <c r="B170" s="29" t="s">
        <v>153</v>
      </c>
      <c r="C170" s="31">
        <v>5.0</v>
      </c>
      <c r="D170" s="33" t="s">
        <v>267</v>
      </c>
      <c r="E170" s="34">
        <v>46102.0</v>
      </c>
      <c r="F170" s="1"/>
    </row>
    <row r="171" ht="15.75" customHeight="1">
      <c r="A171" s="21"/>
      <c r="B171" s="29" t="s">
        <v>78</v>
      </c>
      <c r="C171" s="31">
        <v>5.0</v>
      </c>
      <c r="D171" s="33" t="s">
        <v>267</v>
      </c>
      <c r="E171" s="34">
        <v>46102.0</v>
      </c>
      <c r="F171" s="1"/>
    </row>
    <row r="172" ht="15.75" customHeight="1">
      <c r="A172" s="21"/>
      <c r="B172" s="29" t="s">
        <v>51</v>
      </c>
      <c r="C172" s="31">
        <v>5.0</v>
      </c>
      <c r="D172" s="33" t="s">
        <v>267</v>
      </c>
      <c r="E172" s="34">
        <v>46102.0</v>
      </c>
      <c r="F172" s="1"/>
    </row>
    <row r="173" ht="15.75" customHeight="1">
      <c r="A173" s="21"/>
      <c r="B173" s="29" t="s">
        <v>16</v>
      </c>
      <c r="C173" s="31">
        <v>4.0</v>
      </c>
      <c r="D173" s="33" t="s">
        <v>267</v>
      </c>
      <c r="E173" s="34">
        <v>46102.0</v>
      </c>
      <c r="F173" s="1"/>
    </row>
    <row r="174" ht="15.75" customHeight="1">
      <c r="A174" s="21"/>
      <c r="B174" s="29" t="s">
        <v>80</v>
      </c>
      <c r="C174" s="31">
        <v>9.0</v>
      </c>
      <c r="D174" s="33" t="s">
        <v>267</v>
      </c>
      <c r="E174" s="34">
        <v>46102.0</v>
      </c>
      <c r="F174" s="1"/>
    </row>
    <row r="175" ht="15.75" customHeight="1">
      <c r="A175" s="21"/>
      <c r="B175" s="29" t="s">
        <v>70</v>
      </c>
      <c r="C175" s="31">
        <v>5.0</v>
      </c>
      <c r="D175" s="33" t="s">
        <v>267</v>
      </c>
      <c r="E175" s="34">
        <v>46102.0</v>
      </c>
      <c r="F175" s="1"/>
    </row>
    <row r="176" ht="15.75" customHeight="1">
      <c r="A176" s="21"/>
      <c r="B176" s="29" t="s">
        <v>178</v>
      </c>
      <c r="C176" s="31">
        <v>12.0</v>
      </c>
      <c r="D176" s="33" t="s">
        <v>267</v>
      </c>
      <c r="E176" s="34">
        <v>46102.0</v>
      </c>
      <c r="F176" s="1"/>
    </row>
    <row r="177" ht="15.75" customHeight="1">
      <c r="A177" s="21"/>
      <c r="B177" s="29" t="s">
        <v>28</v>
      </c>
      <c r="C177" s="31">
        <v>10.0</v>
      </c>
      <c r="D177" s="33" t="s">
        <v>267</v>
      </c>
      <c r="E177" s="34">
        <v>46102.0</v>
      </c>
      <c r="F177" s="1"/>
    </row>
    <row r="178" ht="15.75" customHeight="1">
      <c r="A178" s="21"/>
      <c r="B178" s="29" t="s">
        <v>38</v>
      </c>
      <c r="C178" s="31">
        <v>10.0</v>
      </c>
      <c r="D178" s="33" t="s">
        <v>267</v>
      </c>
      <c r="E178" s="34">
        <v>46102.0</v>
      </c>
      <c r="F178" s="1"/>
    </row>
    <row r="179" ht="15.75" customHeight="1">
      <c r="A179" s="21"/>
      <c r="B179" s="29" t="s">
        <v>21</v>
      </c>
      <c r="C179" s="31">
        <v>14.0</v>
      </c>
      <c r="D179" s="33" t="s">
        <v>267</v>
      </c>
      <c r="E179" s="34">
        <v>46102.0</v>
      </c>
      <c r="F179" s="1"/>
    </row>
    <row r="180" ht="15.75" customHeight="1">
      <c r="A180" s="21"/>
      <c r="B180" s="29" t="s">
        <v>175</v>
      </c>
      <c r="C180" s="31">
        <v>4.0</v>
      </c>
      <c r="D180" s="33" t="s">
        <v>267</v>
      </c>
      <c r="E180" s="34">
        <v>46102.0</v>
      </c>
      <c r="F180" s="1"/>
    </row>
    <row r="181" ht="15.75" customHeight="1">
      <c r="A181" s="21"/>
      <c r="B181" s="29" t="s">
        <v>59</v>
      </c>
      <c r="C181" s="31">
        <v>6.0</v>
      </c>
      <c r="D181" s="33" t="s">
        <v>267</v>
      </c>
      <c r="E181" s="34">
        <v>46102.0</v>
      </c>
      <c r="F181" s="1"/>
    </row>
    <row r="182" ht="15.75" customHeight="1">
      <c r="A182" s="21"/>
      <c r="B182" s="29" t="s">
        <v>249</v>
      </c>
      <c r="C182" s="31">
        <v>10.0</v>
      </c>
      <c r="D182" s="33" t="s">
        <v>267</v>
      </c>
      <c r="E182" s="34">
        <v>46102.0</v>
      </c>
      <c r="F182" s="1"/>
    </row>
    <row r="183" ht="15.75" customHeight="1">
      <c r="A183" s="21"/>
      <c r="B183" s="29" t="s">
        <v>83</v>
      </c>
      <c r="C183" s="31">
        <v>5.0</v>
      </c>
      <c r="D183" s="33" t="s">
        <v>267</v>
      </c>
      <c r="E183" s="34">
        <v>46102.0</v>
      </c>
      <c r="F183" s="1"/>
    </row>
    <row r="184" ht="15.75" customHeight="1">
      <c r="A184" s="21"/>
      <c r="B184" s="29" t="s">
        <v>118</v>
      </c>
      <c r="C184" s="31">
        <v>6.0</v>
      </c>
      <c r="D184" s="33" t="s">
        <v>267</v>
      </c>
      <c r="E184" s="34">
        <v>46102.0</v>
      </c>
      <c r="F184" s="1"/>
    </row>
    <row r="185" ht="15.75" customHeight="1">
      <c r="A185" s="21"/>
      <c r="B185" s="29" t="s">
        <v>73</v>
      </c>
      <c r="C185" s="31">
        <v>6.0</v>
      </c>
      <c r="D185" s="33" t="s">
        <v>267</v>
      </c>
      <c r="E185" s="34">
        <v>46102.0</v>
      </c>
      <c r="F185" s="1"/>
    </row>
    <row r="186" ht="15.75" customHeight="1">
      <c r="A186" s="21"/>
      <c r="B186" s="29" t="s">
        <v>80</v>
      </c>
      <c r="C186" s="31">
        <v>1.0</v>
      </c>
      <c r="D186" s="33" t="s">
        <v>267</v>
      </c>
      <c r="E186" s="34">
        <v>46102.0</v>
      </c>
      <c r="F186" s="1"/>
    </row>
    <row r="187" ht="15.75" customHeight="1">
      <c r="A187" s="21"/>
      <c r="B187" s="29" t="s">
        <v>231</v>
      </c>
      <c r="C187" s="31">
        <v>3.0</v>
      </c>
      <c r="D187" s="33" t="s">
        <v>267</v>
      </c>
      <c r="E187" s="34">
        <v>46100.0</v>
      </c>
      <c r="F187" s="1"/>
    </row>
    <row r="188" ht="15.75" customHeight="1">
      <c r="A188" s="21"/>
      <c r="B188" s="29" t="s">
        <v>119</v>
      </c>
      <c r="C188" s="31">
        <v>6.0</v>
      </c>
      <c r="D188" s="33" t="s">
        <v>267</v>
      </c>
      <c r="E188" s="34">
        <v>46112.0</v>
      </c>
      <c r="F188" s="1"/>
    </row>
    <row r="189" ht="15.75" customHeight="1">
      <c r="A189" s="21"/>
      <c r="B189" s="29" t="s">
        <v>19</v>
      </c>
      <c r="C189" s="31">
        <v>4.0</v>
      </c>
      <c r="D189" s="33" t="s">
        <v>267</v>
      </c>
      <c r="E189" s="34">
        <v>46112.0</v>
      </c>
      <c r="F189" s="1"/>
    </row>
    <row r="190" ht="15.75" customHeight="1">
      <c r="A190" s="21"/>
      <c r="B190" s="29" t="s">
        <v>53</v>
      </c>
      <c r="C190" s="31">
        <v>8.0</v>
      </c>
      <c r="D190" s="33" t="s">
        <v>267</v>
      </c>
      <c r="E190" s="34">
        <v>46112.0</v>
      </c>
      <c r="F190" s="1"/>
    </row>
    <row r="191" ht="15.75" customHeight="1">
      <c r="A191" s="21"/>
      <c r="B191" s="29" t="s">
        <v>66</v>
      </c>
      <c r="C191" s="31">
        <v>12.0</v>
      </c>
      <c r="D191" s="33" t="s">
        <v>267</v>
      </c>
      <c r="E191" s="34">
        <v>46112.0</v>
      </c>
      <c r="F191" s="1"/>
    </row>
    <row r="192" ht="15.75" customHeight="1">
      <c r="A192" s="21"/>
      <c r="B192" s="29" t="s">
        <v>218</v>
      </c>
      <c r="C192" s="31">
        <v>5.0</v>
      </c>
      <c r="D192" s="33" t="s">
        <v>267</v>
      </c>
      <c r="E192" s="34">
        <v>46112.0</v>
      </c>
      <c r="F192" s="1"/>
    </row>
    <row r="193" ht="15.75" customHeight="1">
      <c r="A193" s="21"/>
      <c r="B193" s="29" t="s">
        <v>82</v>
      </c>
      <c r="C193" s="31">
        <v>5.0</v>
      </c>
      <c r="D193" s="33" t="s">
        <v>267</v>
      </c>
      <c r="E193" s="34">
        <v>46112.0</v>
      </c>
      <c r="F193" s="1"/>
    </row>
    <row r="194" ht="15.75" customHeight="1">
      <c r="A194" s="21"/>
      <c r="B194" s="29" t="s">
        <v>85</v>
      </c>
      <c r="C194" s="31">
        <v>5.0</v>
      </c>
      <c r="D194" s="33" t="s">
        <v>267</v>
      </c>
      <c r="E194" s="34">
        <v>46112.0</v>
      </c>
      <c r="F194" s="1"/>
    </row>
    <row r="195" ht="15.75" customHeight="1">
      <c r="A195" s="21"/>
      <c r="B195" s="29" t="s">
        <v>47</v>
      </c>
      <c r="C195" s="31">
        <v>11.0</v>
      </c>
      <c r="D195" s="33" t="s">
        <v>267</v>
      </c>
      <c r="E195" s="34">
        <v>46112.0</v>
      </c>
      <c r="F195" s="1"/>
    </row>
    <row r="196" ht="15.75" customHeight="1">
      <c r="A196" s="21"/>
      <c r="B196" s="29" t="s">
        <v>44</v>
      </c>
      <c r="C196" s="31">
        <v>5.0</v>
      </c>
      <c r="D196" s="33" t="s">
        <v>267</v>
      </c>
      <c r="E196" s="34">
        <v>46112.0</v>
      </c>
      <c r="F196" s="19"/>
    </row>
    <row r="197" ht="15.75" customHeight="1">
      <c r="A197" s="21"/>
      <c r="B197" s="29" t="s">
        <v>92</v>
      </c>
      <c r="C197" s="31">
        <v>6.0</v>
      </c>
      <c r="D197" s="33" t="s">
        <v>267</v>
      </c>
      <c r="E197" s="34">
        <v>46112.0</v>
      </c>
      <c r="F197" s="19"/>
    </row>
    <row r="198" ht="15.75" customHeight="1">
      <c r="A198" s="21"/>
      <c r="B198" s="29" t="s">
        <v>77</v>
      </c>
      <c r="C198" s="31">
        <v>30.0</v>
      </c>
      <c r="D198" s="33" t="s">
        <v>267</v>
      </c>
      <c r="E198" s="34">
        <v>46112.0</v>
      </c>
      <c r="F198" s="19"/>
    </row>
    <row r="199" ht="15.75" customHeight="1">
      <c r="A199" s="21"/>
      <c r="B199" s="29" t="s">
        <v>276</v>
      </c>
      <c r="C199" s="31">
        <v>6.0</v>
      </c>
      <c r="D199" s="33" t="s">
        <v>267</v>
      </c>
      <c r="E199" s="34">
        <v>46123.0</v>
      </c>
      <c r="F199" s="19"/>
    </row>
    <row r="200" ht="15.75" customHeight="1">
      <c r="A200" s="21"/>
      <c r="B200" s="29" t="s">
        <v>195</v>
      </c>
      <c r="C200" s="31">
        <v>2.0</v>
      </c>
      <c r="D200" s="33" t="s">
        <v>267</v>
      </c>
      <c r="E200" s="34">
        <v>46123.0</v>
      </c>
      <c r="F200" s="19"/>
    </row>
    <row r="201" ht="15.75" customHeight="1">
      <c r="A201" s="21"/>
      <c r="B201" s="29" t="s">
        <v>112</v>
      </c>
      <c r="C201" s="31">
        <v>3.0</v>
      </c>
      <c r="D201" s="33" t="s">
        <v>267</v>
      </c>
      <c r="E201" s="34">
        <v>46129.0</v>
      </c>
      <c r="F201" s="19"/>
    </row>
    <row r="202" ht="15.75" customHeight="1">
      <c r="A202" s="21"/>
      <c r="B202" s="29" t="s">
        <v>110</v>
      </c>
      <c r="C202" s="31">
        <v>3.0</v>
      </c>
      <c r="D202" s="33" t="s">
        <v>267</v>
      </c>
      <c r="E202" s="34">
        <v>46129.0</v>
      </c>
      <c r="F202" s="19"/>
    </row>
    <row r="203" ht="15.75" customHeight="1">
      <c r="A203" s="21"/>
      <c r="B203" s="29" t="s">
        <v>80</v>
      </c>
      <c r="C203" s="31">
        <v>6.0</v>
      </c>
      <c r="D203" s="33" t="s">
        <v>267</v>
      </c>
      <c r="E203" s="34">
        <v>46129.0</v>
      </c>
      <c r="F203" s="19"/>
    </row>
    <row r="204" ht="15.75" customHeight="1">
      <c r="A204" s="21"/>
      <c r="B204" s="29" t="s">
        <v>32</v>
      </c>
      <c r="C204" s="31">
        <v>8.0</v>
      </c>
      <c r="D204" s="33" t="s">
        <v>267</v>
      </c>
      <c r="E204" s="34">
        <v>46129.0</v>
      </c>
      <c r="F204" s="19"/>
    </row>
    <row r="205" ht="15.75" customHeight="1">
      <c r="A205" s="21"/>
      <c r="B205" s="29" t="s">
        <v>138</v>
      </c>
      <c r="C205" s="31">
        <v>2.0</v>
      </c>
      <c r="D205" s="33" t="s">
        <v>267</v>
      </c>
      <c r="E205" s="34">
        <v>46129.0</v>
      </c>
      <c r="F205" s="19"/>
    </row>
    <row r="206" ht="15.75" customHeight="1">
      <c r="A206" s="21"/>
      <c r="B206" s="29" t="s">
        <v>28</v>
      </c>
      <c r="C206" s="31">
        <v>10.0</v>
      </c>
      <c r="D206" s="33" t="s">
        <v>267</v>
      </c>
      <c r="E206" s="34">
        <v>46129.0</v>
      </c>
      <c r="F206" s="19"/>
    </row>
    <row r="207" ht="15.75" customHeight="1">
      <c r="A207" s="21"/>
      <c r="B207" s="29" t="s">
        <v>98</v>
      </c>
      <c r="C207" s="31">
        <v>4.0</v>
      </c>
      <c r="D207" s="33" t="s">
        <v>267</v>
      </c>
      <c r="E207" s="34">
        <v>46129.0</v>
      </c>
      <c r="F207" s="19"/>
    </row>
    <row r="208" ht="15.75" customHeight="1">
      <c r="A208" s="21"/>
      <c r="B208" s="29" t="s">
        <v>59</v>
      </c>
      <c r="C208" s="31">
        <v>4.0</v>
      </c>
      <c r="D208" s="33" t="s">
        <v>267</v>
      </c>
      <c r="E208" s="34">
        <v>46129.0</v>
      </c>
      <c r="F208" s="19"/>
    </row>
    <row r="209" ht="15.75" customHeight="1">
      <c r="A209" s="21"/>
      <c r="B209" s="29" t="s">
        <v>40</v>
      </c>
      <c r="C209" s="31">
        <v>1.0</v>
      </c>
      <c r="D209" s="33" t="s">
        <v>267</v>
      </c>
      <c r="E209" s="34">
        <v>46129.0</v>
      </c>
      <c r="F209" s="19"/>
    </row>
    <row r="210" ht="15.75" customHeight="1">
      <c r="A210" s="21"/>
      <c r="B210" s="29" t="s">
        <v>36</v>
      </c>
      <c r="C210" s="31">
        <v>4.0</v>
      </c>
      <c r="D210" s="33" t="s">
        <v>267</v>
      </c>
      <c r="E210" s="34">
        <v>46129.0</v>
      </c>
      <c r="F210" s="19"/>
    </row>
    <row r="211" ht="15.75" customHeight="1">
      <c r="A211" s="21"/>
      <c r="B211" s="29" t="s">
        <v>52</v>
      </c>
      <c r="C211" s="31">
        <v>4.0</v>
      </c>
      <c r="D211" s="33" t="s">
        <v>267</v>
      </c>
      <c r="E211" s="34">
        <v>46129.0</v>
      </c>
      <c r="F211" s="19"/>
    </row>
    <row r="212" ht="15.75" customHeight="1">
      <c r="A212" s="21"/>
      <c r="B212" s="29" t="s">
        <v>119</v>
      </c>
      <c r="C212" s="31">
        <v>6.0</v>
      </c>
      <c r="D212" s="33" t="s">
        <v>17</v>
      </c>
      <c r="E212" s="34">
        <v>46141.0</v>
      </c>
      <c r="F212" s="19"/>
    </row>
    <row r="213" ht="15.75" customHeight="1">
      <c r="A213" s="21"/>
      <c r="B213" s="29" t="s">
        <v>124</v>
      </c>
      <c r="C213" s="31">
        <v>5.0</v>
      </c>
      <c r="D213" s="33" t="s">
        <v>17</v>
      </c>
      <c r="E213" s="34">
        <v>46141.0</v>
      </c>
      <c r="F213" s="19"/>
    </row>
    <row r="214" ht="15.75" customHeight="1">
      <c r="A214" s="21"/>
      <c r="B214" s="29" t="s">
        <v>28</v>
      </c>
      <c r="C214" s="31">
        <v>9.0</v>
      </c>
      <c r="D214" s="33" t="s">
        <v>17</v>
      </c>
      <c r="E214" s="34">
        <v>46141.0</v>
      </c>
      <c r="F214" s="19"/>
    </row>
    <row r="215" ht="15.75" customHeight="1">
      <c r="A215" s="21"/>
      <c r="B215" s="29" t="s">
        <v>197</v>
      </c>
      <c r="C215" s="31">
        <v>3.0</v>
      </c>
      <c r="D215" s="33" t="s">
        <v>267</v>
      </c>
      <c r="E215" s="34">
        <v>46141.0</v>
      </c>
      <c r="F215" s="19"/>
    </row>
    <row r="216" ht="15.75" customHeight="1">
      <c r="A216" s="21"/>
      <c r="B216" s="29" t="s">
        <v>41</v>
      </c>
      <c r="C216" s="31">
        <v>4.0</v>
      </c>
      <c r="D216" s="33" t="s">
        <v>267</v>
      </c>
      <c r="E216" s="34">
        <v>46141.0</v>
      </c>
      <c r="F216" s="19"/>
    </row>
    <row r="217" ht="15.75" customHeight="1">
      <c r="A217" s="21"/>
      <c r="B217" s="29" t="s">
        <v>127</v>
      </c>
      <c r="C217" s="31">
        <v>1.0</v>
      </c>
      <c r="D217" s="33" t="s">
        <v>267</v>
      </c>
      <c r="E217" s="34">
        <v>46141.0</v>
      </c>
      <c r="F217" s="19"/>
    </row>
    <row r="218" ht="15.75" customHeight="1">
      <c r="A218" s="21"/>
      <c r="B218" s="29" t="s">
        <v>47</v>
      </c>
      <c r="C218" s="31">
        <v>3.0</v>
      </c>
      <c r="D218" s="33" t="s">
        <v>267</v>
      </c>
      <c r="E218" s="34">
        <v>46141.0</v>
      </c>
      <c r="F218" s="19"/>
    </row>
    <row r="219" ht="15.75" customHeight="1">
      <c r="A219" s="21"/>
      <c r="B219" s="29" t="s">
        <v>265</v>
      </c>
      <c r="C219" s="31">
        <v>3.0</v>
      </c>
      <c r="D219" s="33" t="s">
        <v>267</v>
      </c>
      <c r="E219" s="34">
        <v>46141.0</v>
      </c>
      <c r="F219" s="19"/>
    </row>
    <row r="220" ht="15.75" customHeight="1">
      <c r="A220" s="21"/>
      <c r="B220" s="29" t="s">
        <v>54</v>
      </c>
      <c r="C220" s="31">
        <v>3.0</v>
      </c>
      <c r="D220" s="33" t="s">
        <v>267</v>
      </c>
      <c r="E220" s="34">
        <v>46141.0</v>
      </c>
      <c r="F220" s="19"/>
    </row>
    <row r="221" ht="15.75" customHeight="1">
      <c r="A221" s="21"/>
      <c r="B221" s="29" t="s">
        <v>56</v>
      </c>
      <c r="C221" s="31">
        <v>3.0</v>
      </c>
      <c r="D221" s="33" t="s">
        <v>267</v>
      </c>
      <c r="E221" s="34">
        <v>46141.0</v>
      </c>
      <c r="F221" s="19"/>
    </row>
    <row r="222" ht="15.75" customHeight="1">
      <c r="A222" s="21"/>
      <c r="B222" s="29" t="s">
        <v>21</v>
      </c>
      <c r="C222" s="31">
        <v>5.0</v>
      </c>
      <c r="D222" s="33" t="s">
        <v>267</v>
      </c>
      <c r="E222" s="34">
        <v>46141.0</v>
      </c>
      <c r="F222" s="19"/>
    </row>
    <row r="223" ht="15.75" customHeight="1">
      <c r="A223" s="21"/>
      <c r="B223" s="29" t="s">
        <v>108</v>
      </c>
      <c r="C223" s="31">
        <v>4.0</v>
      </c>
      <c r="D223" s="33" t="s">
        <v>267</v>
      </c>
      <c r="E223" s="34">
        <v>46141.0</v>
      </c>
      <c r="F223" s="19"/>
    </row>
    <row r="224" ht="15.75" customHeight="1">
      <c r="A224" s="21"/>
      <c r="B224" s="29" t="s">
        <v>47</v>
      </c>
      <c r="C224" s="31">
        <v>1.0</v>
      </c>
      <c r="D224" s="33" t="s">
        <v>17</v>
      </c>
      <c r="E224" s="34">
        <v>46142.0</v>
      </c>
      <c r="F224" s="19"/>
    </row>
    <row r="225" ht="15.75" customHeight="1">
      <c r="A225" s="21"/>
      <c r="B225" s="29" t="s">
        <v>21</v>
      </c>
      <c r="C225" s="31">
        <v>20.0</v>
      </c>
      <c r="D225" s="33" t="s">
        <v>17</v>
      </c>
      <c r="E225" s="34">
        <v>46142.0</v>
      </c>
      <c r="F225" s="19"/>
    </row>
    <row r="226" ht="15.75" customHeight="1">
      <c r="A226" s="21"/>
      <c r="B226" s="29" t="s">
        <v>47</v>
      </c>
      <c r="C226" s="31">
        <v>1.0</v>
      </c>
      <c r="D226" s="33" t="s">
        <v>267</v>
      </c>
      <c r="E226" s="34">
        <v>46146.0</v>
      </c>
      <c r="F226" s="19"/>
    </row>
    <row r="227" ht="15.75" customHeight="1">
      <c r="A227" s="21"/>
      <c r="B227" s="29" t="s">
        <v>54</v>
      </c>
      <c r="C227" s="31">
        <v>3.0</v>
      </c>
      <c r="D227" s="33" t="s">
        <v>267</v>
      </c>
      <c r="E227" s="34">
        <v>46146.0</v>
      </c>
      <c r="F227" s="19"/>
    </row>
    <row r="228" ht="15.75" customHeight="1">
      <c r="A228" s="21"/>
      <c r="B228" s="29" t="s">
        <v>265</v>
      </c>
      <c r="C228" s="31">
        <v>1.0</v>
      </c>
      <c r="D228" s="33" t="s">
        <v>267</v>
      </c>
      <c r="E228" s="34">
        <v>46146.0</v>
      </c>
      <c r="F228" s="19"/>
    </row>
    <row r="229" ht="15.75" customHeight="1">
      <c r="A229" s="21"/>
      <c r="B229" s="29" t="s">
        <v>218</v>
      </c>
      <c r="C229" s="31">
        <v>10.0</v>
      </c>
      <c r="D229" s="33" t="s">
        <v>267</v>
      </c>
      <c r="E229" s="34">
        <v>46146.0</v>
      </c>
      <c r="F229" s="19"/>
    </row>
    <row r="230" ht="15.75" customHeight="1">
      <c r="A230" s="21"/>
      <c r="B230" s="29" t="s">
        <v>136</v>
      </c>
      <c r="C230" s="31">
        <v>2.0</v>
      </c>
      <c r="D230" s="33" t="s">
        <v>267</v>
      </c>
      <c r="E230" s="34">
        <v>46146.0</v>
      </c>
      <c r="F230" s="19"/>
    </row>
    <row r="231" ht="15.75" customHeight="1">
      <c r="A231" s="21"/>
      <c r="B231" s="29" t="s">
        <v>77</v>
      </c>
      <c r="C231" s="31">
        <v>20.0</v>
      </c>
      <c r="D231" s="33" t="s">
        <v>267</v>
      </c>
      <c r="E231" s="34">
        <v>46146.0</v>
      </c>
      <c r="F231" s="19"/>
    </row>
    <row r="232" ht="15.75" customHeight="1">
      <c r="A232" s="21"/>
      <c r="B232" s="29" t="s">
        <v>213</v>
      </c>
      <c r="C232" s="31">
        <v>6.0</v>
      </c>
      <c r="D232" s="33" t="s">
        <v>280</v>
      </c>
      <c r="E232" s="34">
        <v>46157.0</v>
      </c>
      <c r="F232" s="19"/>
    </row>
    <row r="233" ht="15.75" customHeight="1">
      <c r="A233" s="21"/>
      <c r="B233" s="29" t="s">
        <v>121</v>
      </c>
      <c r="C233" s="31">
        <v>5.0</v>
      </c>
      <c r="D233" s="33" t="s">
        <v>280</v>
      </c>
      <c r="E233" s="34">
        <v>46147.0</v>
      </c>
      <c r="F233" s="19"/>
    </row>
    <row r="234" ht="15.75" customHeight="1">
      <c r="A234" s="21"/>
      <c r="B234" s="29" t="s">
        <v>22</v>
      </c>
      <c r="C234" s="31">
        <v>12.0</v>
      </c>
      <c r="D234" s="33" t="s">
        <v>280</v>
      </c>
      <c r="E234" s="34">
        <v>46147.0</v>
      </c>
      <c r="F234" s="19"/>
    </row>
    <row r="235" ht="15.75" customHeight="1">
      <c r="A235" s="21"/>
      <c r="B235" s="29" t="s">
        <v>70</v>
      </c>
      <c r="C235" s="31">
        <v>10.0</v>
      </c>
      <c r="D235" s="33" t="s">
        <v>280</v>
      </c>
      <c r="E235" s="34">
        <v>46147.0</v>
      </c>
      <c r="F235" s="19"/>
    </row>
    <row r="236" ht="15.75" customHeight="1">
      <c r="A236" s="21"/>
      <c r="B236" s="29" t="s">
        <v>66</v>
      </c>
      <c r="C236" s="31">
        <v>20.0</v>
      </c>
      <c r="D236" s="33" t="s">
        <v>17</v>
      </c>
      <c r="E236" s="34">
        <v>46157.0</v>
      </c>
      <c r="F236" s="19"/>
    </row>
    <row r="237" ht="15.75" customHeight="1">
      <c r="A237" s="21"/>
      <c r="B237" s="29" t="s">
        <v>28</v>
      </c>
      <c r="C237" s="31">
        <v>10.0</v>
      </c>
      <c r="D237" s="33" t="s">
        <v>17</v>
      </c>
      <c r="E237" s="34">
        <v>46157.0</v>
      </c>
      <c r="F237" s="19"/>
    </row>
    <row r="238" ht="15.75" customHeight="1">
      <c r="A238" s="21"/>
      <c r="B238" s="29" t="s">
        <v>53</v>
      </c>
      <c r="C238" s="31">
        <v>4.0</v>
      </c>
      <c r="D238" s="33" t="s">
        <v>17</v>
      </c>
      <c r="E238" s="34">
        <v>46157.0</v>
      </c>
      <c r="F238" s="19"/>
    </row>
    <row r="239" ht="15.75" customHeight="1">
      <c r="A239" s="21"/>
      <c r="B239" s="29" t="s">
        <v>54</v>
      </c>
      <c r="C239" s="31">
        <v>2.0</v>
      </c>
      <c r="D239" s="33" t="s">
        <v>17</v>
      </c>
      <c r="E239" s="34">
        <v>46157.0</v>
      </c>
      <c r="F239" s="19"/>
    </row>
    <row r="240" ht="15.75" customHeight="1">
      <c r="A240" s="21"/>
      <c r="B240" s="29" t="s">
        <v>56</v>
      </c>
      <c r="C240" s="31">
        <v>5.0</v>
      </c>
      <c r="D240" s="33" t="s">
        <v>17</v>
      </c>
      <c r="E240" s="34">
        <v>46157.0</v>
      </c>
      <c r="F240" s="19"/>
    </row>
    <row r="241" ht="15.75" customHeight="1">
      <c r="A241" s="21"/>
      <c r="B241" s="29" t="s">
        <v>51</v>
      </c>
      <c r="C241" s="31">
        <v>4.0</v>
      </c>
      <c r="D241" s="33" t="s">
        <v>17</v>
      </c>
      <c r="E241" s="34">
        <v>46157.0</v>
      </c>
      <c r="F241" s="19"/>
    </row>
    <row r="242" ht="15.75" customHeight="1">
      <c r="A242" s="21"/>
      <c r="B242" s="29" t="s">
        <v>44</v>
      </c>
      <c r="C242" s="31">
        <v>4.0</v>
      </c>
      <c r="D242" s="33" t="s">
        <v>17</v>
      </c>
      <c r="E242" s="34">
        <v>46157.0</v>
      </c>
      <c r="F242" s="19"/>
    </row>
    <row r="243" ht="15.75" customHeight="1">
      <c r="A243" s="21"/>
      <c r="B243" s="29" t="s">
        <v>127</v>
      </c>
      <c r="C243" s="31">
        <v>1.0</v>
      </c>
      <c r="D243" s="33" t="s">
        <v>17</v>
      </c>
      <c r="E243" s="34">
        <v>46157.0</v>
      </c>
      <c r="F243" s="19"/>
    </row>
    <row r="244" ht="15.75" customHeight="1">
      <c r="A244" s="21"/>
      <c r="B244" s="29" t="s">
        <v>121</v>
      </c>
      <c r="C244" s="31">
        <v>4.0</v>
      </c>
      <c r="D244" s="33" t="s">
        <v>17</v>
      </c>
      <c r="E244" s="34">
        <v>46157.0</v>
      </c>
      <c r="F244" s="19"/>
    </row>
    <row r="245" ht="15.75" customHeight="1">
      <c r="A245" s="21"/>
      <c r="B245" s="29" t="s">
        <v>80</v>
      </c>
      <c r="C245" s="31">
        <v>2.0</v>
      </c>
      <c r="D245" s="33" t="s">
        <v>17</v>
      </c>
      <c r="E245" s="34">
        <v>46157.0</v>
      </c>
      <c r="F245" s="19"/>
    </row>
    <row r="246" ht="15.75" customHeight="1">
      <c r="A246" s="21"/>
      <c r="B246" s="29" t="s">
        <v>72</v>
      </c>
      <c r="C246" s="31">
        <v>3.0</v>
      </c>
      <c r="D246" s="33" t="s">
        <v>17</v>
      </c>
      <c r="E246" s="34">
        <v>46157.0</v>
      </c>
      <c r="F246" s="19"/>
    </row>
    <row r="247" ht="15.75" customHeight="1">
      <c r="A247" s="21"/>
      <c r="B247" s="29" t="s">
        <v>53</v>
      </c>
      <c r="C247" s="31">
        <v>5.0</v>
      </c>
      <c r="D247" s="33" t="s">
        <v>17</v>
      </c>
      <c r="E247" s="34">
        <v>46157.0</v>
      </c>
      <c r="F247" s="19"/>
    </row>
    <row r="248" ht="15.75" customHeight="1">
      <c r="A248" s="21"/>
      <c r="B248" s="29" t="s">
        <v>149</v>
      </c>
      <c r="C248" s="31">
        <v>6.0</v>
      </c>
      <c r="D248" s="33" t="s">
        <v>17</v>
      </c>
      <c r="E248" s="34">
        <v>46157.0</v>
      </c>
      <c r="F248" s="19"/>
    </row>
    <row r="249" ht="15.75" customHeight="1">
      <c r="A249" s="21"/>
      <c r="B249" s="29" t="s">
        <v>120</v>
      </c>
      <c r="C249" s="31">
        <v>20.0</v>
      </c>
      <c r="D249" s="33" t="s">
        <v>280</v>
      </c>
      <c r="E249" s="34">
        <v>46157.0</v>
      </c>
      <c r="F249" s="19"/>
    </row>
    <row r="250" ht="15.75" customHeight="1">
      <c r="A250" s="21"/>
      <c r="B250" s="29" t="s">
        <v>40</v>
      </c>
      <c r="C250" s="31">
        <v>2.0</v>
      </c>
      <c r="D250" s="33" t="s">
        <v>280</v>
      </c>
      <c r="E250" s="34">
        <v>46157.0</v>
      </c>
      <c r="F250" s="19"/>
    </row>
    <row r="251" ht="15.75" customHeight="1">
      <c r="A251" s="21"/>
      <c r="B251" s="29" t="s">
        <v>119</v>
      </c>
      <c r="C251" s="31">
        <v>10.0</v>
      </c>
      <c r="D251" s="33" t="s">
        <v>280</v>
      </c>
      <c r="E251" s="34">
        <v>46157.0</v>
      </c>
      <c r="F251" s="19"/>
    </row>
    <row r="252" ht="15.75" customHeight="1">
      <c r="A252" s="21"/>
      <c r="B252" s="29" t="s">
        <v>19</v>
      </c>
      <c r="C252" s="31">
        <v>2.0</v>
      </c>
      <c r="D252" s="33" t="s">
        <v>281</v>
      </c>
      <c r="E252" s="34">
        <v>46167.0</v>
      </c>
      <c r="F252" s="19"/>
    </row>
    <row r="253" ht="15.75" customHeight="1">
      <c r="A253" s="21"/>
      <c r="B253" s="29" t="s">
        <v>252</v>
      </c>
      <c r="C253" s="31">
        <v>2.0</v>
      </c>
      <c r="D253" s="33" t="s">
        <v>280</v>
      </c>
      <c r="E253" s="34">
        <v>46168.0</v>
      </c>
      <c r="F253" s="19"/>
    </row>
    <row r="254" ht="15.75" customHeight="1">
      <c r="A254" s="21"/>
      <c r="B254" s="29" t="s">
        <v>149</v>
      </c>
      <c r="C254" s="31">
        <v>30.0</v>
      </c>
      <c r="D254" s="33" t="s">
        <v>280</v>
      </c>
      <c r="E254" s="34">
        <v>46169.0</v>
      </c>
      <c r="F254" s="19"/>
    </row>
    <row r="255" ht="15.75" customHeight="1">
      <c r="A255" s="21"/>
      <c r="B255" s="29" t="s">
        <v>253</v>
      </c>
      <c r="C255" s="31">
        <v>10.0</v>
      </c>
      <c r="D255" s="33" t="s">
        <v>17</v>
      </c>
      <c r="E255" s="34">
        <v>46171.0</v>
      </c>
      <c r="F255" s="19"/>
    </row>
    <row r="256" ht="15.75" customHeight="1">
      <c r="A256" s="21"/>
      <c r="B256" s="29" t="s">
        <v>80</v>
      </c>
      <c r="C256" s="31">
        <v>6.0</v>
      </c>
      <c r="D256" s="33" t="s">
        <v>17</v>
      </c>
      <c r="E256" s="34">
        <v>46171.0</v>
      </c>
      <c r="F256" s="19"/>
    </row>
    <row r="257" ht="15.75" customHeight="1">
      <c r="A257" s="21"/>
      <c r="B257" s="29" t="s">
        <v>44</v>
      </c>
      <c r="C257" s="31">
        <v>6.0</v>
      </c>
      <c r="D257" s="33" t="s">
        <v>17</v>
      </c>
      <c r="E257" s="34">
        <v>46171.0</v>
      </c>
      <c r="F257" s="19"/>
    </row>
    <row r="258" ht="15.75" customHeight="1">
      <c r="A258" s="21"/>
      <c r="B258" s="29" t="s">
        <v>77</v>
      </c>
      <c r="C258" s="31">
        <v>10.0</v>
      </c>
      <c r="D258" s="33" t="s">
        <v>17</v>
      </c>
      <c r="E258" s="34">
        <v>46171.0</v>
      </c>
      <c r="F258" s="19"/>
    </row>
    <row r="259" ht="15.75" customHeight="1">
      <c r="A259" s="21"/>
      <c r="B259" s="29" t="s">
        <v>265</v>
      </c>
      <c r="C259" s="31">
        <v>6.0</v>
      </c>
      <c r="D259" s="33" t="s">
        <v>17</v>
      </c>
      <c r="E259" s="34">
        <v>46171.0</v>
      </c>
      <c r="F259" s="19"/>
    </row>
    <row r="260" ht="15.75" customHeight="1">
      <c r="A260" s="21"/>
      <c r="B260" s="29" t="s">
        <v>119</v>
      </c>
      <c r="C260" s="31">
        <v>15.0</v>
      </c>
      <c r="D260" s="33" t="s">
        <v>280</v>
      </c>
      <c r="E260" s="34">
        <v>46171.0</v>
      </c>
      <c r="F260" s="19"/>
    </row>
    <row r="261" ht="15.75" customHeight="1">
      <c r="A261" s="21"/>
      <c r="B261" s="29" t="s">
        <v>135</v>
      </c>
      <c r="C261" s="31">
        <v>10.0</v>
      </c>
      <c r="D261" s="33" t="s">
        <v>280</v>
      </c>
      <c r="E261" s="34">
        <v>46171.0</v>
      </c>
      <c r="F261" s="19"/>
    </row>
    <row r="262" ht="15.75" customHeight="1">
      <c r="A262" s="21"/>
      <c r="B262" s="29" t="s">
        <v>21</v>
      </c>
      <c r="C262" s="31">
        <v>20.0</v>
      </c>
      <c r="D262" s="33" t="s">
        <v>280</v>
      </c>
      <c r="E262" s="34">
        <v>46171.0</v>
      </c>
      <c r="F262" s="19"/>
    </row>
    <row r="263" ht="15.75" customHeight="1">
      <c r="A263" s="21"/>
      <c r="B263" s="29" t="s">
        <v>47</v>
      </c>
      <c r="C263" s="31">
        <v>8.0</v>
      </c>
      <c r="D263" s="33" t="s">
        <v>280</v>
      </c>
      <c r="E263" s="34">
        <v>46171.0</v>
      </c>
      <c r="F263" s="19"/>
    </row>
    <row r="264" ht="15.75" customHeight="1">
      <c r="A264" s="21"/>
      <c r="B264" s="29" t="s">
        <v>108</v>
      </c>
      <c r="C264" s="31">
        <v>10.0</v>
      </c>
      <c r="D264" s="33" t="s">
        <v>17</v>
      </c>
      <c r="E264" s="34">
        <v>46167.0</v>
      </c>
      <c r="F264" s="19"/>
    </row>
    <row r="265" ht="15.75" customHeight="1">
      <c r="A265" s="21"/>
      <c r="B265" s="29" t="s">
        <v>21</v>
      </c>
      <c r="C265" s="31">
        <v>5.0</v>
      </c>
      <c r="D265" s="33" t="s">
        <v>17</v>
      </c>
      <c r="E265" s="34">
        <v>46167.0</v>
      </c>
      <c r="F265" s="19"/>
    </row>
    <row r="266" ht="15.75" customHeight="1">
      <c r="A266" s="21"/>
      <c r="B266" s="29" t="s">
        <v>33</v>
      </c>
      <c r="C266" s="31">
        <v>2.0</v>
      </c>
      <c r="D266" s="33" t="s">
        <v>280</v>
      </c>
      <c r="E266" s="34">
        <v>46197.0</v>
      </c>
      <c r="F266" s="19"/>
    </row>
    <row r="267" ht="15.75" customHeight="1">
      <c r="A267" s="21"/>
      <c r="B267" s="29" t="s">
        <v>52</v>
      </c>
      <c r="C267" s="31">
        <v>1.0</v>
      </c>
      <c r="D267" s="33" t="s">
        <v>280</v>
      </c>
      <c r="E267" s="34">
        <v>46197.0</v>
      </c>
      <c r="F267" s="19"/>
    </row>
    <row r="268" ht="15.75" customHeight="1">
      <c r="A268" s="21"/>
      <c r="B268" s="29" t="s">
        <v>36</v>
      </c>
      <c r="C268" s="31">
        <v>12.0</v>
      </c>
      <c r="D268" s="33" t="s">
        <v>280</v>
      </c>
      <c r="E268" s="34">
        <v>46197.0</v>
      </c>
      <c r="F268" s="19"/>
    </row>
    <row r="269" ht="15.75" customHeight="1">
      <c r="A269" s="21"/>
      <c r="B269" s="29" t="s">
        <v>277</v>
      </c>
      <c r="C269" s="31">
        <v>12.0</v>
      </c>
      <c r="D269" s="33" t="s">
        <v>280</v>
      </c>
      <c r="E269" s="34">
        <v>46197.0</v>
      </c>
      <c r="F269" s="19"/>
    </row>
    <row r="270" ht="15.75" customHeight="1">
      <c r="A270" s="21"/>
      <c r="B270" s="29" t="s">
        <v>49</v>
      </c>
      <c r="C270" s="31">
        <v>9.0</v>
      </c>
      <c r="D270" s="33" t="s">
        <v>280</v>
      </c>
      <c r="E270" s="34">
        <v>46198.0</v>
      </c>
      <c r="F270" s="19"/>
    </row>
    <row r="271" ht="15.75" customHeight="1">
      <c r="A271" s="21"/>
      <c r="B271" s="29" t="s">
        <v>191</v>
      </c>
      <c r="C271" s="31">
        <v>5.0</v>
      </c>
      <c r="D271" s="33" t="s">
        <v>280</v>
      </c>
      <c r="E271" s="34">
        <v>46198.0</v>
      </c>
      <c r="F271" s="19"/>
    </row>
    <row r="272" ht="15.75" customHeight="1">
      <c r="A272" s="21"/>
      <c r="B272" s="29" t="s">
        <v>278</v>
      </c>
      <c r="C272" s="31">
        <v>5.0</v>
      </c>
      <c r="D272" s="33" t="s">
        <v>280</v>
      </c>
      <c r="E272" s="34">
        <v>46198.0</v>
      </c>
      <c r="F272" s="19"/>
    </row>
    <row r="273" ht="15.75" customHeight="1">
      <c r="A273" s="21"/>
      <c r="B273" s="29" t="s">
        <v>85</v>
      </c>
      <c r="C273" s="31">
        <v>10.0</v>
      </c>
      <c r="D273" s="33" t="s">
        <v>280</v>
      </c>
      <c r="E273" s="34">
        <v>46198.0</v>
      </c>
      <c r="F273" s="19"/>
    </row>
    <row r="274" ht="15.75" customHeight="1">
      <c r="A274" s="21"/>
      <c r="B274" s="29" t="s">
        <v>217</v>
      </c>
      <c r="C274" s="31">
        <v>12.0</v>
      </c>
      <c r="D274" s="33" t="s">
        <v>280</v>
      </c>
      <c r="E274" s="34">
        <v>46198.0</v>
      </c>
      <c r="F274" s="19"/>
    </row>
    <row r="275" ht="15.75" customHeight="1">
      <c r="A275" s="21"/>
      <c r="B275" s="29" t="s">
        <v>82</v>
      </c>
      <c r="C275" s="31">
        <v>5.0</v>
      </c>
      <c r="D275" s="33" t="s">
        <v>267</v>
      </c>
      <c r="E275" s="34">
        <v>46198.0</v>
      </c>
      <c r="F275" s="19"/>
    </row>
    <row r="276" ht="15.75" customHeight="1">
      <c r="A276" s="21"/>
      <c r="B276" s="29" t="s">
        <v>28</v>
      </c>
      <c r="C276" s="31">
        <v>20.0</v>
      </c>
      <c r="D276" s="33" t="s">
        <v>267</v>
      </c>
      <c r="E276" s="34">
        <v>46198.0</v>
      </c>
      <c r="F276" s="19"/>
    </row>
    <row r="277" ht="15.75" customHeight="1">
      <c r="A277" s="21"/>
      <c r="B277" s="29" t="s">
        <v>18</v>
      </c>
      <c r="C277" s="31">
        <v>10.0</v>
      </c>
      <c r="D277" s="33" t="s">
        <v>267</v>
      </c>
      <c r="E277" s="34">
        <v>46198.0</v>
      </c>
      <c r="F277" s="19"/>
    </row>
    <row r="278" ht="15.75" customHeight="1">
      <c r="A278" s="21"/>
      <c r="B278" s="29" t="s">
        <v>40</v>
      </c>
      <c r="C278" s="31">
        <v>12.0</v>
      </c>
      <c r="D278" s="33" t="s">
        <v>267</v>
      </c>
      <c r="E278" s="34">
        <v>46198.0</v>
      </c>
      <c r="F278" s="19"/>
    </row>
    <row r="279" ht="15.75" customHeight="1">
      <c r="A279" s="21"/>
      <c r="B279" s="29" t="s">
        <v>37</v>
      </c>
      <c r="C279" s="31">
        <v>10.0</v>
      </c>
      <c r="D279" s="33" t="s">
        <v>267</v>
      </c>
      <c r="E279" s="34">
        <v>46198.0</v>
      </c>
      <c r="F279" s="19"/>
    </row>
    <row r="280" ht="15.75" customHeight="1">
      <c r="A280" s="21"/>
      <c r="B280" s="29" t="s">
        <v>44</v>
      </c>
      <c r="C280" s="31">
        <v>5.0</v>
      </c>
      <c r="D280" s="33" t="s">
        <v>267</v>
      </c>
      <c r="E280" s="34">
        <v>46198.0</v>
      </c>
      <c r="F280" s="19"/>
    </row>
    <row r="281" ht="15.75" customHeight="1">
      <c r="A281" s="21"/>
      <c r="B281" s="29" t="s">
        <v>186</v>
      </c>
      <c r="C281" s="31">
        <v>10.0</v>
      </c>
      <c r="D281" s="33" t="s">
        <v>267</v>
      </c>
      <c r="E281" s="34">
        <v>46198.0</v>
      </c>
      <c r="F281" s="19"/>
    </row>
    <row r="282" ht="15.75" customHeight="1">
      <c r="A282" s="21"/>
      <c r="B282" s="29" t="s">
        <v>195</v>
      </c>
      <c r="C282" s="31">
        <v>10.0</v>
      </c>
      <c r="D282" s="33" t="s">
        <v>280</v>
      </c>
      <c r="E282" s="34">
        <v>46197.0</v>
      </c>
      <c r="F282" s="19"/>
    </row>
    <row r="283" ht="15.75" customHeight="1">
      <c r="A283" s="21"/>
      <c r="B283" s="29" t="s">
        <v>120</v>
      </c>
      <c r="C283" s="31">
        <v>5.0</v>
      </c>
      <c r="D283" s="33" t="s">
        <v>280</v>
      </c>
      <c r="E283" s="34">
        <v>46197.0</v>
      </c>
      <c r="F283" s="19"/>
    </row>
    <row r="284" ht="15.75" customHeight="1">
      <c r="A284" s="21"/>
      <c r="B284" s="29" t="s">
        <v>170</v>
      </c>
      <c r="C284" s="31">
        <v>20.0</v>
      </c>
      <c r="D284" s="33" t="s">
        <v>280</v>
      </c>
      <c r="E284" s="34">
        <v>46197.0</v>
      </c>
      <c r="F284" s="19"/>
    </row>
    <row r="285" ht="15.75" customHeight="1">
      <c r="A285" s="21"/>
      <c r="B285" s="29" t="s">
        <v>99</v>
      </c>
      <c r="C285" s="31">
        <v>5.0</v>
      </c>
      <c r="D285" s="33" t="s">
        <v>280</v>
      </c>
      <c r="E285" s="34">
        <v>46197.0</v>
      </c>
      <c r="F285" s="19"/>
    </row>
    <row r="286" ht="15.75" customHeight="1">
      <c r="A286" s="21"/>
      <c r="B286" s="29" t="s">
        <v>179</v>
      </c>
      <c r="C286" s="31">
        <v>60.0</v>
      </c>
      <c r="D286" s="33" t="s">
        <v>280</v>
      </c>
      <c r="E286" s="34">
        <v>46197.0</v>
      </c>
      <c r="F286" s="19"/>
    </row>
    <row r="287" ht="15.75" customHeight="1">
      <c r="A287" s="21"/>
      <c r="B287" s="29" t="s">
        <v>38</v>
      </c>
      <c r="C287" s="31">
        <v>20.0</v>
      </c>
      <c r="D287" s="33" t="s">
        <v>280</v>
      </c>
      <c r="E287" s="34">
        <v>46197.0</v>
      </c>
      <c r="F287" s="19"/>
    </row>
    <row r="288" ht="15.75" customHeight="1">
      <c r="A288" s="21"/>
      <c r="B288" s="29" t="s">
        <v>19</v>
      </c>
      <c r="C288" s="31">
        <v>10.0</v>
      </c>
      <c r="D288" s="33" t="s">
        <v>280</v>
      </c>
      <c r="E288" s="34">
        <v>46197.0</v>
      </c>
      <c r="F288" s="19"/>
    </row>
    <row r="289" ht="15.75" customHeight="1">
      <c r="A289" s="21"/>
      <c r="B289" s="29" t="s">
        <v>53</v>
      </c>
      <c r="C289" s="31">
        <v>16.0</v>
      </c>
      <c r="D289" s="33" t="s">
        <v>17</v>
      </c>
      <c r="E289" s="34">
        <v>46203.0</v>
      </c>
      <c r="F289" s="19"/>
    </row>
    <row r="290" ht="15.75" customHeight="1">
      <c r="A290" s="21"/>
      <c r="B290" s="29" t="s">
        <v>120</v>
      </c>
      <c r="C290" s="31">
        <v>12.0</v>
      </c>
      <c r="D290" s="33" t="s">
        <v>17</v>
      </c>
      <c r="E290" s="34">
        <v>46203.0</v>
      </c>
      <c r="F290" s="19"/>
    </row>
    <row r="291" ht="15.75" customHeight="1">
      <c r="A291" s="21"/>
      <c r="B291" s="29" t="s">
        <v>19</v>
      </c>
      <c r="C291" s="31">
        <v>5.0</v>
      </c>
      <c r="D291" s="33" t="s">
        <v>17</v>
      </c>
      <c r="E291" s="34">
        <v>46203.0</v>
      </c>
      <c r="F291" s="19"/>
    </row>
    <row r="292" ht="15.75" customHeight="1">
      <c r="A292" s="21"/>
      <c r="B292" s="29" t="s">
        <v>120</v>
      </c>
      <c r="C292" s="31">
        <v>5.0</v>
      </c>
      <c r="D292" s="33" t="s">
        <v>280</v>
      </c>
      <c r="E292" s="34">
        <v>46207.0</v>
      </c>
      <c r="F292" s="19"/>
    </row>
    <row r="293" ht="15.75" customHeight="1">
      <c r="A293" s="21"/>
      <c r="B293" s="29" t="s">
        <v>53</v>
      </c>
      <c r="C293" s="31">
        <v>5.0</v>
      </c>
      <c r="D293" s="33" t="s">
        <v>280</v>
      </c>
      <c r="E293" s="34">
        <v>46207.0</v>
      </c>
      <c r="F293" s="19"/>
    </row>
    <row r="294" ht="15.75" customHeight="1">
      <c r="A294" s="21"/>
      <c r="B294" s="29" t="s">
        <v>21</v>
      </c>
      <c r="C294" s="31">
        <v>5.0</v>
      </c>
      <c r="D294" s="33" t="s">
        <v>280</v>
      </c>
      <c r="E294" s="34">
        <v>46210.0</v>
      </c>
      <c r="F294" s="19"/>
    </row>
    <row r="295" ht="15.75" customHeight="1">
      <c r="A295" s="21"/>
      <c r="B295" s="29" t="s">
        <v>49</v>
      </c>
      <c r="C295" s="31">
        <v>2.0</v>
      </c>
      <c r="D295" s="33" t="s">
        <v>280</v>
      </c>
      <c r="E295" s="34">
        <v>46212.0</v>
      </c>
      <c r="F295" s="19"/>
    </row>
    <row r="296" ht="15.75" customHeight="1">
      <c r="A296" s="21"/>
      <c r="B296" s="29" t="s">
        <v>119</v>
      </c>
      <c r="C296" s="31">
        <v>10.0</v>
      </c>
      <c r="D296" s="33" t="s">
        <v>280</v>
      </c>
      <c r="E296" s="34">
        <v>46212.0</v>
      </c>
      <c r="F296" s="19"/>
    </row>
    <row r="297" ht="15.75" customHeight="1">
      <c r="A297" s="21"/>
      <c r="B297" s="29" t="s">
        <v>80</v>
      </c>
      <c r="C297" s="31">
        <v>8.0</v>
      </c>
      <c r="D297" s="33" t="s">
        <v>267</v>
      </c>
      <c r="E297" s="34">
        <v>46213.0</v>
      </c>
      <c r="F297" s="19"/>
    </row>
    <row r="298" ht="15.75" customHeight="1">
      <c r="A298" s="21"/>
      <c r="B298" s="29" t="s">
        <v>73</v>
      </c>
      <c r="C298" s="31">
        <v>6.0</v>
      </c>
      <c r="D298" s="33" t="s">
        <v>267</v>
      </c>
      <c r="E298" s="34">
        <v>46213.0</v>
      </c>
      <c r="F298" s="19"/>
    </row>
    <row r="299" ht="15.75" customHeight="1">
      <c r="A299" s="21"/>
      <c r="B299" s="29" t="s">
        <v>164</v>
      </c>
      <c r="C299" s="31">
        <v>2.0</v>
      </c>
      <c r="D299" s="33" t="s">
        <v>267</v>
      </c>
      <c r="E299" s="34">
        <v>46213.0</v>
      </c>
      <c r="F299" s="19"/>
    </row>
    <row r="300" ht="15.75" customHeight="1">
      <c r="A300" s="21"/>
      <c r="B300" s="29" t="s">
        <v>265</v>
      </c>
      <c r="C300" s="31">
        <v>5.0</v>
      </c>
      <c r="D300" s="33" t="s">
        <v>267</v>
      </c>
      <c r="E300" s="34">
        <v>46213.0</v>
      </c>
      <c r="F300" s="19"/>
    </row>
    <row r="301" ht="15.75" customHeight="1">
      <c r="A301" s="21"/>
      <c r="B301" s="29" t="s">
        <v>32</v>
      </c>
      <c r="C301" s="31">
        <v>2.0</v>
      </c>
      <c r="D301" s="33" t="s">
        <v>267</v>
      </c>
      <c r="E301" s="34">
        <v>46213.0</v>
      </c>
      <c r="F301" s="19"/>
    </row>
    <row r="302" ht="15.75" customHeight="1">
      <c r="A302" s="21"/>
      <c r="B302" s="29" t="s">
        <v>47</v>
      </c>
      <c r="C302" s="31">
        <v>5.0</v>
      </c>
      <c r="D302" s="33" t="s">
        <v>267</v>
      </c>
      <c r="E302" s="34">
        <v>46213.0</v>
      </c>
      <c r="F302" s="19"/>
    </row>
    <row r="303" ht="15.75" customHeight="1">
      <c r="A303" s="21"/>
      <c r="B303" s="29" t="s">
        <v>124</v>
      </c>
      <c r="C303" s="31">
        <v>4.0</v>
      </c>
      <c r="D303" s="33" t="s">
        <v>282</v>
      </c>
      <c r="E303" s="34">
        <v>46225.0</v>
      </c>
      <c r="F303" s="19"/>
    </row>
    <row r="304" ht="15.75" customHeight="1">
      <c r="A304" s="21"/>
      <c r="B304" s="29" t="s">
        <v>119</v>
      </c>
      <c r="C304" s="31">
        <v>5.0</v>
      </c>
      <c r="D304" s="33" t="s">
        <v>282</v>
      </c>
      <c r="E304" s="34">
        <v>46225.0</v>
      </c>
      <c r="F304" s="19"/>
    </row>
    <row r="305" ht="15.75" customHeight="1">
      <c r="A305" s="21"/>
      <c r="B305" s="29" t="s">
        <v>227</v>
      </c>
      <c r="C305" s="31">
        <v>4.0</v>
      </c>
      <c r="D305" s="33" t="s">
        <v>282</v>
      </c>
      <c r="E305" s="34">
        <v>46225.0</v>
      </c>
      <c r="F305" s="19"/>
    </row>
    <row r="306" ht="15.75" customHeight="1">
      <c r="A306" s="21"/>
      <c r="B306" s="29" t="s">
        <v>119</v>
      </c>
      <c r="C306" s="31">
        <v>5.0</v>
      </c>
      <c r="D306" s="33" t="s">
        <v>282</v>
      </c>
      <c r="E306" s="34">
        <v>46237.0</v>
      </c>
      <c r="F306" s="19"/>
    </row>
    <row r="307" ht="15.75" customHeight="1">
      <c r="A307" s="21"/>
      <c r="B307" s="29" t="s">
        <v>153</v>
      </c>
      <c r="C307" s="31">
        <v>4.0</v>
      </c>
      <c r="D307" s="33" t="s">
        <v>280</v>
      </c>
      <c r="E307" s="34">
        <v>46237.0</v>
      </c>
      <c r="F307" s="19"/>
    </row>
    <row r="308" ht="15.75" customHeight="1">
      <c r="A308" s="21"/>
      <c r="B308" s="29" t="s">
        <v>119</v>
      </c>
      <c r="C308" s="31">
        <v>1.0</v>
      </c>
      <c r="D308" s="33" t="s">
        <v>280</v>
      </c>
      <c r="E308" s="34">
        <v>46237.0</v>
      </c>
      <c r="F308" s="19"/>
    </row>
    <row r="309" ht="15.75" customHeight="1">
      <c r="A309" s="21"/>
      <c r="B309" s="29" t="s">
        <v>56</v>
      </c>
      <c r="C309" s="31">
        <v>6.0</v>
      </c>
      <c r="D309" s="33" t="s">
        <v>267</v>
      </c>
      <c r="E309" s="34">
        <v>46237.0</v>
      </c>
      <c r="F309" s="19"/>
    </row>
    <row r="310" ht="15.75" customHeight="1">
      <c r="A310" s="21"/>
      <c r="B310" s="29" t="s">
        <v>51</v>
      </c>
      <c r="C310" s="31">
        <v>6.0</v>
      </c>
      <c r="D310" s="33" t="s">
        <v>267</v>
      </c>
      <c r="E310" s="34">
        <v>46237.0</v>
      </c>
      <c r="F310" s="19"/>
    </row>
    <row r="311" ht="15.75" customHeight="1">
      <c r="A311" s="21"/>
      <c r="B311" s="29" t="s">
        <v>54</v>
      </c>
      <c r="C311" s="31">
        <v>6.0</v>
      </c>
      <c r="D311" s="33" t="s">
        <v>267</v>
      </c>
      <c r="E311" s="34">
        <v>46237.0</v>
      </c>
      <c r="F311" s="19"/>
    </row>
    <row r="312" ht="15.75" customHeight="1">
      <c r="A312" s="21"/>
      <c r="B312" s="29" t="s">
        <v>121</v>
      </c>
      <c r="C312" s="31">
        <v>4.0</v>
      </c>
      <c r="D312" s="33" t="s">
        <v>267</v>
      </c>
      <c r="E312" s="34">
        <v>46237.0</v>
      </c>
      <c r="F312" s="19"/>
    </row>
    <row r="313" ht="15.75" customHeight="1">
      <c r="A313" s="21"/>
      <c r="B313" s="29" t="s">
        <v>80</v>
      </c>
      <c r="C313" s="31">
        <v>3.0</v>
      </c>
      <c r="D313" s="33" t="s">
        <v>267</v>
      </c>
      <c r="E313" s="34">
        <v>46237.0</v>
      </c>
      <c r="F313" s="19"/>
    </row>
    <row r="314" ht="15.75" customHeight="1">
      <c r="A314" s="21"/>
      <c r="B314" s="29" t="s">
        <v>80</v>
      </c>
      <c r="C314" s="31">
        <v>3.0</v>
      </c>
      <c r="D314" s="33" t="s">
        <v>267</v>
      </c>
      <c r="E314" s="34">
        <v>46237.0</v>
      </c>
      <c r="F314" s="19"/>
    </row>
    <row r="315" ht="15.75" customHeight="1">
      <c r="A315" s="21"/>
      <c r="B315" s="29" t="s">
        <v>122</v>
      </c>
      <c r="C315" s="31">
        <v>4.0</v>
      </c>
      <c r="D315" s="33" t="s">
        <v>267</v>
      </c>
      <c r="E315" s="34">
        <v>46237.0</v>
      </c>
      <c r="F315" s="19"/>
    </row>
    <row r="316" ht="15.75" customHeight="1">
      <c r="A316" s="21"/>
      <c r="B316" s="29" t="s">
        <v>28</v>
      </c>
      <c r="C316" s="31">
        <v>10.0</v>
      </c>
      <c r="D316" s="33" t="s">
        <v>267</v>
      </c>
      <c r="E316" s="34">
        <v>46237.0</v>
      </c>
      <c r="F316" s="19"/>
    </row>
    <row r="317" ht="15.75" customHeight="1">
      <c r="A317" s="21"/>
      <c r="B317" s="29" t="s">
        <v>22</v>
      </c>
      <c r="C317" s="31">
        <v>10.0</v>
      </c>
      <c r="D317" s="33" t="s">
        <v>267</v>
      </c>
      <c r="E317" s="34">
        <v>46237.0</v>
      </c>
      <c r="F317" s="19"/>
    </row>
    <row r="318" ht="15.75" customHeight="1">
      <c r="A318" s="21"/>
      <c r="B318" s="29" t="s">
        <v>66</v>
      </c>
      <c r="C318" s="31">
        <v>6.0</v>
      </c>
      <c r="D318" s="33" t="s">
        <v>267</v>
      </c>
      <c r="E318" s="34">
        <v>46237.0</v>
      </c>
      <c r="F318" s="19"/>
    </row>
    <row r="319" ht="15.75" customHeight="1">
      <c r="A319" s="21"/>
      <c r="B319" s="29" t="s">
        <v>213</v>
      </c>
      <c r="C319" s="31">
        <v>2.0</v>
      </c>
      <c r="D319" s="33" t="s">
        <v>280</v>
      </c>
      <c r="E319" s="34">
        <v>46237.0</v>
      </c>
      <c r="F319" s="19"/>
    </row>
    <row r="320" ht="15.75" customHeight="1">
      <c r="A320" s="21"/>
      <c r="B320" s="29" t="s">
        <v>186</v>
      </c>
      <c r="C320" s="31">
        <v>28.0</v>
      </c>
      <c r="D320" s="33" t="s">
        <v>280</v>
      </c>
      <c r="E320" s="34">
        <v>46237.0</v>
      </c>
      <c r="F320" s="19"/>
    </row>
    <row r="321" ht="15.75" customHeight="1">
      <c r="A321" s="21"/>
      <c r="B321" s="29" t="s">
        <v>19</v>
      </c>
      <c r="C321" s="31">
        <v>6.0</v>
      </c>
      <c r="D321" s="33" t="s">
        <v>281</v>
      </c>
      <c r="E321" s="34">
        <v>46251.0</v>
      </c>
      <c r="F321" s="19"/>
    </row>
    <row r="322" ht="15.75" customHeight="1">
      <c r="A322" s="21"/>
      <c r="B322" s="29" t="s">
        <v>120</v>
      </c>
      <c r="C322" s="31">
        <v>13.0</v>
      </c>
      <c r="D322" s="33" t="s">
        <v>17</v>
      </c>
      <c r="E322" s="34">
        <v>46275.0</v>
      </c>
      <c r="F322" s="19"/>
    </row>
    <row r="323" ht="15.75" customHeight="1">
      <c r="A323" s="21"/>
      <c r="B323" s="29" t="s">
        <v>80</v>
      </c>
      <c r="C323" s="31">
        <v>10.0</v>
      </c>
      <c r="D323" s="33" t="s">
        <v>17</v>
      </c>
      <c r="E323" s="34">
        <v>46275.0</v>
      </c>
      <c r="F323" s="19"/>
    </row>
    <row r="324" ht="15.75" customHeight="1">
      <c r="A324" s="21"/>
      <c r="B324" s="29" t="s">
        <v>279</v>
      </c>
      <c r="C324" s="31">
        <v>4.0</v>
      </c>
      <c r="D324" s="33" t="s">
        <v>17</v>
      </c>
      <c r="E324" s="34">
        <v>46275.0</v>
      </c>
      <c r="F324" s="19"/>
    </row>
    <row r="325" ht="15.75" customHeight="1">
      <c r="A325" s="21"/>
      <c r="B325" s="29" t="s">
        <v>73</v>
      </c>
      <c r="C325" s="31">
        <v>2.0</v>
      </c>
      <c r="D325" s="33" t="s">
        <v>280</v>
      </c>
      <c r="E325" s="34">
        <v>46275.0</v>
      </c>
      <c r="F325" s="19"/>
    </row>
    <row r="326" ht="15.75" customHeight="1">
      <c r="A326" s="21"/>
      <c r="B326" s="29" t="s">
        <v>71</v>
      </c>
      <c r="C326" s="31">
        <v>2.0</v>
      </c>
      <c r="D326" s="33" t="s">
        <v>280</v>
      </c>
      <c r="E326" s="34">
        <v>46275.0</v>
      </c>
      <c r="F326" s="19"/>
    </row>
    <row r="327" ht="15.75" customHeight="1">
      <c r="A327" s="21"/>
      <c r="B327" s="29" t="s">
        <v>119</v>
      </c>
      <c r="C327" s="31">
        <v>2.0</v>
      </c>
      <c r="D327" s="33" t="s">
        <v>280</v>
      </c>
      <c r="E327" s="34">
        <v>46275.0</v>
      </c>
      <c r="F327" s="19"/>
    </row>
    <row r="328" ht="15.75" customHeight="1">
      <c r="A328" s="21"/>
      <c r="B328" s="29" t="s">
        <v>19</v>
      </c>
      <c r="C328" s="31">
        <v>4.0</v>
      </c>
      <c r="D328" s="33" t="s">
        <v>281</v>
      </c>
      <c r="E328" s="34">
        <v>46284.0</v>
      </c>
      <c r="F328" s="19"/>
    </row>
    <row r="329" ht="15.75" customHeight="1">
      <c r="A329" s="21"/>
      <c r="B329" s="29" t="s">
        <v>22</v>
      </c>
      <c r="C329" s="31">
        <v>5.0</v>
      </c>
      <c r="D329" s="33" t="s">
        <v>267</v>
      </c>
      <c r="E329" s="34">
        <v>46286.0</v>
      </c>
      <c r="F329" s="19"/>
    </row>
    <row r="330" ht="15.75" customHeight="1">
      <c r="A330" s="21"/>
      <c r="B330" s="29" t="s">
        <v>47</v>
      </c>
      <c r="C330" s="31">
        <v>3.0</v>
      </c>
      <c r="D330" s="33" t="s">
        <v>267</v>
      </c>
      <c r="E330" s="34">
        <v>46286.0</v>
      </c>
      <c r="F330" s="19"/>
    </row>
    <row r="331" ht="15.75" customHeight="1">
      <c r="A331" s="21"/>
      <c r="B331" s="29" t="s">
        <v>218</v>
      </c>
      <c r="C331" s="31">
        <v>10.0</v>
      </c>
      <c r="D331" s="33" t="s">
        <v>267</v>
      </c>
      <c r="E331" s="34">
        <v>46286.0</v>
      </c>
      <c r="F331" s="19"/>
    </row>
    <row r="332" ht="15.75" customHeight="1">
      <c r="A332" s="21"/>
      <c r="B332" s="29" t="s">
        <v>44</v>
      </c>
      <c r="C332" s="31">
        <v>5.0</v>
      </c>
      <c r="D332" s="33" t="s">
        <v>267</v>
      </c>
      <c r="E332" s="34">
        <v>46286.0</v>
      </c>
      <c r="F332" s="19"/>
    </row>
    <row r="333" ht="15.75" customHeight="1">
      <c r="A333" s="21"/>
      <c r="B333" s="29" t="s">
        <v>127</v>
      </c>
      <c r="C333" s="31">
        <v>2.0</v>
      </c>
      <c r="D333" s="33" t="s">
        <v>267</v>
      </c>
      <c r="E333" s="34">
        <v>46286.0</v>
      </c>
      <c r="F333" s="19"/>
    </row>
    <row r="334" ht="15.75" customHeight="1">
      <c r="A334" s="21"/>
      <c r="B334" s="29" t="s">
        <v>78</v>
      </c>
      <c r="C334" s="31">
        <v>4.0</v>
      </c>
      <c r="D334" s="33" t="s">
        <v>267</v>
      </c>
      <c r="E334" s="34">
        <v>46286.0</v>
      </c>
      <c r="F334" s="19"/>
    </row>
    <row r="335" ht="15.75" customHeight="1">
      <c r="A335" s="21"/>
      <c r="B335" s="29" t="s">
        <v>28</v>
      </c>
      <c r="C335" s="31">
        <v>20.0</v>
      </c>
      <c r="D335" s="33" t="s">
        <v>267</v>
      </c>
      <c r="E335" s="34">
        <v>46290.0</v>
      </c>
      <c r="F335" s="19"/>
    </row>
    <row r="336" ht="15.75" customHeight="1">
      <c r="A336" s="21"/>
      <c r="B336" s="29" t="s">
        <v>21</v>
      </c>
      <c r="C336" s="31">
        <v>26.0</v>
      </c>
      <c r="D336" s="33" t="s">
        <v>267</v>
      </c>
      <c r="E336" s="34">
        <v>46290.0</v>
      </c>
      <c r="F336" s="19"/>
    </row>
    <row r="337" ht="15.75" customHeight="1">
      <c r="A337" s="21"/>
      <c r="B337" s="29" t="s">
        <v>77</v>
      </c>
      <c r="C337" s="31">
        <v>15.0</v>
      </c>
      <c r="D337" s="33" t="s">
        <v>267</v>
      </c>
      <c r="E337" s="34">
        <v>46290.0</v>
      </c>
      <c r="F337" s="19"/>
    </row>
    <row r="338" ht="15.75" customHeight="1">
      <c r="A338" s="21"/>
      <c r="B338" s="29" t="s">
        <v>222</v>
      </c>
      <c r="C338" s="31">
        <v>8.0</v>
      </c>
      <c r="D338" s="33" t="s">
        <v>267</v>
      </c>
      <c r="E338" s="34">
        <v>46290.0</v>
      </c>
      <c r="F338" s="19"/>
    </row>
    <row r="339" ht="15.75" customHeight="1">
      <c r="A339" s="21"/>
      <c r="B339" s="29" t="s">
        <v>49</v>
      </c>
      <c r="C339" s="31">
        <v>3.0</v>
      </c>
      <c r="D339" s="33" t="s">
        <v>267</v>
      </c>
      <c r="E339" s="34">
        <v>46290.0</v>
      </c>
      <c r="F339" s="19"/>
    </row>
    <row r="340" ht="15.75" customHeight="1">
      <c r="A340" s="21"/>
      <c r="B340" s="29" t="s">
        <v>73</v>
      </c>
      <c r="C340" s="31">
        <v>10.0</v>
      </c>
      <c r="D340" s="33" t="s">
        <v>267</v>
      </c>
      <c r="E340" s="34">
        <v>46290.0</v>
      </c>
      <c r="F340" s="19"/>
    </row>
    <row r="341" ht="15.75" customHeight="1">
      <c r="A341" s="21"/>
      <c r="B341" s="29" t="s">
        <v>164</v>
      </c>
      <c r="C341" s="31">
        <v>6.0</v>
      </c>
      <c r="D341" s="33" t="s">
        <v>280</v>
      </c>
      <c r="E341" s="34">
        <v>46288.0</v>
      </c>
      <c r="F341" s="19"/>
    </row>
    <row r="342" ht="15.75" customHeight="1">
      <c r="A342" s="21"/>
      <c r="B342" s="29" t="s">
        <v>56</v>
      </c>
      <c r="C342" s="31">
        <v>6.0</v>
      </c>
      <c r="D342" s="33" t="s">
        <v>280</v>
      </c>
      <c r="E342" s="34">
        <v>46288.0</v>
      </c>
      <c r="F342" s="19"/>
    </row>
    <row r="343" ht="15.75" customHeight="1">
      <c r="A343" s="21"/>
      <c r="B343" s="29" t="s">
        <v>47</v>
      </c>
      <c r="C343" s="31">
        <v>4.0</v>
      </c>
      <c r="D343" s="33" t="s">
        <v>280</v>
      </c>
      <c r="E343" s="34">
        <v>46288.0</v>
      </c>
      <c r="F343" s="19"/>
    </row>
    <row r="344" ht="15.75" customHeight="1">
      <c r="A344" s="21"/>
      <c r="B344" s="29" t="s">
        <v>119</v>
      </c>
      <c r="C344" s="31">
        <v>6.0</v>
      </c>
      <c r="D344" s="33" t="s">
        <v>280</v>
      </c>
      <c r="E344" s="34">
        <v>46288.0</v>
      </c>
      <c r="F344" s="19"/>
    </row>
    <row r="345" ht="15.75" customHeight="1">
      <c r="A345" s="21"/>
      <c r="B345" s="29" t="s">
        <v>119</v>
      </c>
      <c r="C345" s="31">
        <v>5.0</v>
      </c>
      <c r="D345" s="33" t="s">
        <v>280</v>
      </c>
      <c r="E345" s="34">
        <v>46301.0</v>
      </c>
      <c r="F345" s="19"/>
    </row>
    <row r="346" ht="15.75" customHeight="1">
      <c r="A346" s="21"/>
      <c r="B346" s="29" t="s">
        <v>80</v>
      </c>
      <c r="C346" s="31">
        <v>5.0</v>
      </c>
      <c r="D346" s="33" t="s">
        <v>280</v>
      </c>
      <c r="E346" s="34">
        <v>46301.0</v>
      </c>
      <c r="F346" s="19"/>
    </row>
    <row r="347" ht="15.75" customHeight="1">
      <c r="A347" s="19"/>
      <c r="B347" s="66"/>
      <c r="C347" s="67"/>
      <c r="D347" s="68"/>
      <c r="E347" s="68"/>
      <c r="F347" s="19"/>
    </row>
    <row r="348" ht="15.75" customHeight="1">
      <c r="A348" s="19"/>
      <c r="B348" s="66"/>
      <c r="C348" s="67"/>
      <c r="D348" s="68"/>
      <c r="E348" s="68"/>
      <c r="F348" s="19"/>
    </row>
    <row r="349" ht="15.75" customHeight="1">
      <c r="A349" s="19"/>
      <c r="B349" s="66"/>
      <c r="C349" s="67"/>
      <c r="D349" s="68"/>
      <c r="E349" s="68"/>
      <c r="F349" s="19"/>
    </row>
    <row r="350" ht="15.75" customHeight="1">
      <c r="A350" s="19"/>
      <c r="B350" s="66"/>
      <c r="C350" s="67"/>
      <c r="D350" s="68"/>
      <c r="E350" s="68"/>
      <c r="F350" s="19"/>
    </row>
    <row r="351" ht="15.75" customHeight="1">
      <c r="A351" s="19"/>
      <c r="B351" s="66"/>
      <c r="C351" s="67"/>
      <c r="D351" s="68"/>
      <c r="E351" s="68"/>
      <c r="F351" s="19"/>
    </row>
    <row r="352" ht="15.75" customHeight="1">
      <c r="A352" s="19"/>
      <c r="B352" s="66"/>
      <c r="C352" s="67"/>
      <c r="D352" s="68"/>
      <c r="E352" s="68"/>
      <c r="F352" s="19"/>
    </row>
    <row r="353" ht="15.75" customHeight="1">
      <c r="A353" s="19"/>
      <c r="B353" s="66"/>
      <c r="C353" s="67"/>
      <c r="D353" s="68"/>
      <c r="E353" s="68"/>
      <c r="F353" s="19"/>
    </row>
    <row r="354" ht="15.75" customHeight="1">
      <c r="A354" s="19"/>
      <c r="B354" s="66"/>
      <c r="C354" s="67"/>
      <c r="D354" s="68"/>
      <c r="E354" s="68"/>
      <c r="F354" s="19"/>
    </row>
    <row r="355" ht="15.75" customHeight="1">
      <c r="A355" s="19"/>
      <c r="B355" s="66"/>
      <c r="C355" s="67"/>
      <c r="D355" s="68"/>
      <c r="E355" s="68"/>
      <c r="F355" s="19"/>
    </row>
    <row r="356" ht="15.75" customHeight="1">
      <c r="A356" s="19"/>
      <c r="B356" s="66"/>
      <c r="C356" s="67"/>
      <c r="D356" s="68"/>
      <c r="E356" s="68"/>
      <c r="F356" s="19"/>
    </row>
    <row r="357" ht="15.75" customHeight="1">
      <c r="A357" s="19"/>
      <c r="B357" s="66"/>
      <c r="C357" s="67"/>
      <c r="D357" s="68"/>
      <c r="E357" s="68"/>
      <c r="F357" s="19"/>
    </row>
    <row r="358" ht="15.75" customHeight="1">
      <c r="A358" s="19"/>
      <c r="B358" s="66"/>
      <c r="C358" s="67"/>
      <c r="D358" s="68"/>
      <c r="E358" s="68"/>
      <c r="F358" s="19"/>
    </row>
    <row r="359" ht="15.75" customHeight="1">
      <c r="A359" s="19"/>
      <c r="B359" s="66"/>
      <c r="C359" s="67"/>
      <c r="D359" s="68"/>
      <c r="E359" s="68"/>
      <c r="F359" s="19"/>
    </row>
    <row r="360" ht="15.75" customHeight="1">
      <c r="A360" s="19"/>
      <c r="B360" s="66"/>
      <c r="C360" s="67"/>
      <c r="D360" s="68"/>
      <c r="E360" s="68"/>
      <c r="F360" s="19"/>
    </row>
    <row r="361" ht="15.75" customHeight="1">
      <c r="A361" s="19"/>
      <c r="B361" s="66"/>
      <c r="C361" s="67"/>
      <c r="D361" s="68"/>
      <c r="E361" s="68"/>
      <c r="F361" s="19"/>
    </row>
    <row r="362" ht="15.75" customHeight="1">
      <c r="A362" s="19"/>
      <c r="B362" s="66"/>
      <c r="C362" s="67"/>
      <c r="D362" s="68"/>
      <c r="E362" s="68"/>
      <c r="F362" s="19"/>
    </row>
    <row r="363" ht="15.75" customHeight="1">
      <c r="A363" s="19"/>
      <c r="B363" s="66"/>
      <c r="C363" s="67"/>
      <c r="D363" s="68"/>
      <c r="E363" s="68"/>
      <c r="F363" s="19"/>
    </row>
    <row r="364" ht="15.75" customHeight="1">
      <c r="A364" s="19"/>
      <c r="B364" s="66"/>
      <c r="C364" s="67"/>
      <c r="D364" s="68"/>
      <c r="E364" s="68"/>
      <c r="F364" s="19"/>
    </row>
    <row r="365" ht="15.75" customHeight="1">
      <c r="A365" s="19"/>
      <c r="B365" s="66"/>
      <c r="C365" s="67"/>
      <c r="D365" s="68"/>
      <c r="E365" s="68"/>
      <c r="F365" s="19"/>
    </row>
    <row r="366" ht="15.75" customHeight="1">
      <c r="A366" s="19"/>
      <c r="B366" s="66"/>
      <c r="C366" s="67"/>
      <c r="D366" s="68"/>
      <c r="E366" s="68"/>
      <c r="F366" s="19"/>
    </row>
    <row r="367" ht="15.75" customHeight="1">
      <c r="A367" s="19"/>
      <c r="B367" s="66"/>
      <c r="C367" s="67"/>
      <c r="D367" s="68"/>
      <c r="E367" s="68"/>
      <c r="F367" s="19"/>
    </row>
    <row r="368" ht="15.75" customHeight="1">
      <c r="A368" s="19"/>
      <c r="B368" s="66"/>
      <c r="C368" s="67"/>
      <c r="D368" s="68"/>
      <c r="E368" s="68"/>
      <c r="F368" s="19"/>
    </row>
    <row r="369" ht="15.75" customHeight="1">
      <c r="A369" s="19"/>
      <c r="B369" s="66"/>
      <c r="C369" s="67"/>
      <c r="D369" s="68"/>
      <c r="E369" s="68"/>
      <c r="F369" s="19"/>
    </row>
    <row r="370" ht="15.75" customHeight="1">
      <c r="A370" s="19"/>
      <c r="B370" s="66"/>
      <c r="C370" s="67"/>
      <c r="D370" s="68"/>
      <c r="E370" s="68"/>
      <c r="F370" s="19"/>
    </row>
    <row r="371" ht="15.75" customHeight="1">
      <c r="A371" s="19"/>
      <c r="B371" s="66"/>
      <c r="C371" s="67"/>
      <c r="D371" s="68"/>
      <c r="E371" s="68"/>
      <c r="F371" s="19"/>
    </row>
    <row r="372" ht="15.75" customHeight="1">
      <c r="A372" s="19"/>
      <c r="B372" s="66"/>
      <c r="C372" s="67"/>
      <c r="D372" s="68"/>
      <c r="E372" s="68"/>
      <c r="F372" s="19"/>
    </row>
    <row r="373" ht="15.75" customHeight="1">
      <c r="A373" s="19"/>
      <c r="B373" s="66"/>
      <c r="C373" s="67"/>
      <c r="D373" s="68"/>
      <c r="E373" s="68"/>
      <c r="F373" s="19"/>
    </row>
    <row r="374" ht="15.75" customHeight="1">
      <c r="A374" s="19"/>
      <c r="B374" s="66"/>
      <c r="C374" s="67"/>
      <c r="D374" s="68"/>
      <c r="E374" s="68"/>
      <c r="F374" s="19"/>
    </row>
    <row r="375" ht="15.75" customHeight="1">
      <c r="A375" s="19"/>
      <c r="B375" s="66"/>
      <c r="C375" s="67"/>
      <c r="D375" s="68"/>
      <c r="E375" s="68"/>
      <c r="F375" s="19"/>
    </row>
    <row r="376" ht="15.75" customHeight="1">
      <c r="A376" s="19"/>
      <c r="B376" s="66"/>
      <c r="C376" s="67"/>
      <c r="D376" s="68"/>
      <c r="E376" s="68"/>
      <c r="F376" s="19"/>
    </row>
    <row r="377" ht="15.75" customHeight="1">
      <c r="A377" s="19"/>
      <c r="B377" s="66"/>
      <c r="C377" s="67"/>
      <c r="D377" s="68"/>
      <c r="E377" s="68"/>
      <c r="F377" s="19"/>
    </row>
    <row r="378" ht="15.75" customHeight="1">
      <c r="A378" s="19"/>
      <c r="B378" s="66"/>
      <c r="C378" s="67"/>
      <c r="D378" s="68"/>
      <c r="E378" s="68"/>
      <c r="F378" s="19"/>
    </row>
    <row r="379" ht="15.75" customHeight="1">
      <c r="A379" s="19"/>
      <c r="B379" s="66"/>
      <c r="C379" s="67"/>
      <c r="D379" s="68"/>
      <c r="E379" s="68"/>
      <c r="F379" s="19"/>
    </row>
    <row r="380" ht="15.75" customHeight="1">
      <c r="A380" s="19"/>
      <c r="B380" s="66"/>
      <c r="C380" s="67"/>
      <c r="D380" s="68"/>
      <c r="E380" s="68"/>
      <c r="F380" s="19"/>
    </row>
    <row r="381" ht="15.75" customHeight="1">
      <c r="A381" s="19"/>
      <c r="B381" s="66"/>
      <c r="C381" s="67"/>
      <c r="D381" s="68"/>
      <c r="E381" s="68"/>
      <c r="F381" s="19"/>
    </row>
    <row r="382" ht="15.75" customHeight="1">
      <c r="A382" s="19"/>
      <c r="B382" s="66"/>
      <c r="C382" s="67"/>
      <c r="D382" s="68"/>
      <c r="E382" s="68"/>
      <c r="F382" s="19"/>
    </row>
    <row r="383" ht="15.75" customHeight="1">
      <c r="A383" s="19"/>
      <c r="B383" s="66"/>
      <c r="C383" s="67"/>
      <c r="D383" s="68"/>
      <c r="E383" s="68"/>
      <c r="F383" s="19"/>
    </row>
    <row r="384" ht="15.75" customHeight="1">
      <c r="A384" s="19"/>
      <c r="B384" s="66"/>
      <c r="C384" s="67"/>
      <c r="D384" s="68"/>
      <c r="E384" s="68"/>
      <c r="F384" s="19"/>
    </row>
    <row r="385" ht="15.75" customHeight="1">
      <c r="A385" s="19"/>
      <c r="B385" s="66"/>
      <c r="C385" s="67"/>
      <c r="D385" s="68"/>
      <c r="E385" s="68"/>
      <c r="F385" s="19"/>
    </row>
    <row r="386" ht="15.75" customHeight="1">
      <c r="A386" s="19"/>
      <c r="B386" s="66"/>
      <c r="C386" s="67"/>
      <c r="D386" s="68"/>
      <c r="E386" s="68"/>
      <c r="F386" s="19"/>
    </row>
    <row r="387" ht="15.75" customHeight="1">
      <c r="A387" s="19"/>
      <c r="B387" s="66"/>
      <c r="C387" s="67"/>
      <c r="D387" s="68"/>
      <c r="E387" s="68"/>
      <c r="F387" s="19"/>
    </row>
    <row r="388" ht="15.75" customHeight="1">
      <c r="A388" s="19"/>
      <c r="B388" s="66"/>
      <c r="C388" s="67"/>
      <c r="D388" s="68"/>
      <c r="E388" s="68"/>
      <c r="F388" s="19"/>
    </row>
    <row r="389" ht="15.75" customHeight="1">
      <c r="A389" s="19"/>
      <c r="B389" s="66"/>
      <c r="C389" s="67"/>
      <c r="D389" s="68"/>
      <c r="E389" s="68"/>
      <c r="F389" s="19"/>
    </row>
    <row r="390" ht="15.75" customHeight="1">
      <c r="A390" s="19"/>
      <c r="B390" s="66"/>
      <c r="C390" s="67"/>
      <c r="D390" s="68"/>
      <c r="E390" s="68"/>
      <c r="F390" s="19"/>
    </row>
    <row r="391" ht="15.75" customHeight="1">
      <c r="A391" s="19"/>
      <c r="B391" s="66"/>
      <c r="C391" s="67"/>
      <c r="D391" s="68"/>
      <c r="E391" s="68"/>
      <c r="F391" s="19"/>
    </row>
    <row r="392" ht="15.75" customHeight="1">
      <c r="A392" s="19"/>
      <c r="B392" s="66"/>
      <c r="C392" s="67"/>
      <c r="D392" s="68"/>
      <c r="E392" s="68"/>
      <c r="F392" s="19"/>
    </row>
    <row r="393" ht="15.75" customHeight="1">
      <c r="A393" s="19"/>
      <c r="B393" s="66"/>
      <c r="C393" s="67"/>
      <c r="D393" s="68"/>
      <c r="E393" s="68"/>
      <c r="F393" s="19"/>
    </row>
    <row r="394" ht="15.75" customHeight="1">
      <c r="A394" s="19"/>
      <c r="B394" s="66"/>
      <c r="C394" s="67"/>
      <c r="D394" s="68"/>
      <c r="E394" s="68"/>
      <c r="F394" s="19"/>
    </row>
    <row r="395" ht="15.75" customHeight="1">
      <c r="A395" s="19"/>
      <c r="B395" s="66"/>
      <c r="C395" s="67"/>
      <c r="D395" s="68"/>
      <c r="E395" s="68"/>
      <c r="F395" s="19"/>
    </row>
    <row r="396" ht="15.75" customHeight="1">
      <c r="A396" s="19"/>
      <c r="B396" s="66"/>
      <c r="C396" s="67"/>
      <c r="D396" s="68"/>
      <c r="E396" s="68"/>
      <c r="F396" s="19"/>
    </row>
    <row r="397" ht="15.75" customHeight="1">
      <c r="A397" s="19"/>
      <c r="B397" s="66"/>
      <c r="C397" s="67"/>
      <c r="D397" s="68"/>
      <c r="E397" s="68"/>
      <c r="F397" s="19"/>
    </row>
    <row r="398" ht="15.75" customHeight="1">
      <c r="A398" s="19"/>
      <c r="B398" s="66"/>
      <c r="C398" s="67"/>
      <c r="D398" s="68"/>
      <c r="E398" s="68"/>
      <c r="F398" s="19"/>
    </row>
    <row r="399" ht="15.75" customHeight="1">
      <c r="A399" s="19"/>
      <c r="B399" s="66"/>
      <c r="C399" s="67"/>
      <c r="D399" s="68"/>
      <c r="E399" s="68"/>
      <c r="F399" s="19"/>
    </row>
    <row r="400" ht="15.75" customHeight="1">
      <c r="A400" s="19"/>
      <c r="B400" s="66"/>
      <c r="C400" s="67"/>
      <c r="D400" s="68"/>
      <c r="E400" s="68"/>
      <c r="F400" s="19"/>
    </row>
    <row r="401" ht="15.75" customHeight="1">
      <c r="A401" s="19"/>
      <c r="B401" s="66"/>
      <c r="C401" s="67"/>
      <c r="D401" s="68"/>
      <c r="E401" s="68"/>
      <c r="F401" s="19"/>
    </row>
    <row r="402" ht="15.75" customHeight="1">
      <c r="A402" s="19"/>
      <c r="B402" s="66"/>
      <c r="C402" s="67"/>
      <c r="D402" s="68"/>
      <c r="E402" s="68"/>
      <c r="F402" s="19"/>
    </row>
    <row r="403" ht="15.75" customHeight="1">
      <c r="A403" s="19"/>
      <c r="B403" s="66"/>
      <c r="C403" s="67"/>
      <c r="D403" s="68"/>
      <c r="E403" s="68"/>
      <c r="F403" s="19"/>
    </row>
    <row r="404" ht="15.75" customHeight="1">
      <c r="A404" s="19"/>
      <c r="B404" s="66"/>
      <c r="C404" s="67"/>
      <c r="D404" s="68"/>
      <c r="E404" s="68"/>
      <c r="F404" s="19"/>
    </row>
    <row r="405" ht="15.75" customHeight="1">
      <c r="A405" s="19"/>
      <c r="B405" s="66"/>
      <c r="C405" s="67"/>
      <c r="D405" s="68"/>
      <c r="E405" s="68"/>
      <c r="F405" s="19"/>
    </row>
    <row r="406" ht="15.75" customHeight="1">
      <c r="A406" s="19"/>
      <c r="B406" s="66"/>
      <c r="C406" s="67"/>
      <c r="D406" s="68"/>
      <c r="E406" s="68"/>
      <c r="F406" s="19"/>
    </row>
    <row r="407" ht="15.75" customHeight="1">
      <c r="A407" s="19"/>
      <c r="B407" s="66"/>
      <c r="C407" s="67"/>
      <c r="D407" s="68"/>
      <c r="E407" s="68"/>
      <c r="F407" s="19"/>
    </row>
    <row r="408" ht="15.75" customHeight="1">
      <c r="A408" s="19"/>
      <c r="B408" s="66"/>
      <c r="C408" s="67"/>
      <c r="D408" s="68"/>
      <c r="E408" s="68"/>
      <c r="F408" s="19"/>
    </row>
    <row r="409" ht="15.75" customHeight="1">
      <c r="A409" s="19"/>
      <c r="B409" s="66"/>
      <c r="C409" s="67"/>
      <c r="D409" s="68"/>
      <c r="E409" s="68"/>
      <c r="F409" s="19"/>
    </row>
    <row r="410" ht="15.75" customHeight="1">
      <c r="A410" s="19"/>
      <c r="B410" s="66"/>
      <c r="C410" s="67"/>
      <c r="D410" s="68"/>
      <c r="E410" s="68"/>
      <c r="F410" s="19"/>
    </row>
    <row r="411" ht="15.75" customHeight="1">
      <c r="A411" s="19"/>
      <c r="B411" s="66"/>
      <c r="C411" s="67"/>
      <c r="D411" s="68"/>
      <c r="E411" s="68"/>
      <c r="F411" s="19"/>
    </row>
    <row r="412" ht="15.75" customHeight="1">
      <c r="A412" s="19"/>
      <c r="B412" s="66"/>
      <c r="C412" s="67"/>
      <c r="D412" s="68"/>
      <c r="E412" s="68"/>
      <c r="F412" s="19"/>
    </row>
    <row r="413" ht="15.75" customHeight="1">
      <c r="A413" s="19"/>
      <c r="B413" s="66"/>
      <c r="C413" s="67"/>
      <c r="D413" s="68"/>
      <c r="E413" s="68"/>
      <c r="F413" s="19"/>
    </row>
    <row r="414" ht="15.75" customHeight="1">
      <c r="A414" s="19"/>
      <c r="B414" s="66"/>
      <c r="C414" s="67"/>
      <c r="D414" s="68"/>
      <c r="E414" s="68"/>
      <c r="F414" s="19"/>
    </row>
    <row r="415" ht="15.75" customHeight="1">
      <c r="A415" s="19"/>
      <c r="B415" s="66"/>
      <c r="C415" s="67"/>
      <c r="D415" s="68"/>
      <c r="E415" s="68"/>
      <c r="F415" s="19"/>
    </row>
    <row r="416" ht="15.75" customHeight="1">
      <c r="A416" s="19"/>
      <c r="B416" s="66"/>
      <c r="C416" s="67"/>
      <c r="D416" s="68"/>
      <c r="E416" s="68"/>
      <c r="F416" s="19"/>
    </row>
    <row r="417" ht="15.75" customHeight="1">
      <c r="A417" s="19"/>
      <c r="B417" s="66"/>
      <c r="C417" s="67"/>
      <c r="D417" s="68"/>
      <c r="E417" s="68"/>
      <c r="F417" s="19"/>
    </row>
    <row r="418" ht="15.75" customHeight="1">
      <c r="A418" s="19"/>
      <c r="B418" s="66"/>
      <c r="C418" s="67"/>
      <c r="D418" s="68"/>
      <c r="E418" s="68"/>
      <c r="F418" s="19"/>
    </row>
    <row r="419" ht="15.75" customHeight="1">
      <c r="A419" s="19"/>
      <c r="B419" s="66"/>
      <c r="C419" s="67"/>
      <c r="D419" s="68"/>
      <c r="E419" s="68"/>
      <c r="F419" s="19"/>
    </row>
    <row r="420" ht="15.75" customHeight="1">
      <c r="A420" s="19"/>
      <c r="B420" s="66"/>
      <c r="C420" s="67"/>
      <c r="D420" s="68"/>
      <c r="E420" s="68"/>
      <c r="F420" s="19"/>
    </row>
    <row r="421" ht="15.75" customHeight="1">
      <c r="A421" s="19"/>
      <c r="B421" s="66"/>
      <c r="C421" s="67"/>
      <c r="D421" s="68"/>
      <c r="E421" s="68"/>
      <c r="F421" s="19"/>
    </row>
    <row r="422" ht="15.75" customHeight="1">
      <c r="A422" s="19"/>
      <c r="B422" s="66"/>
      <c r="C422" s="67"/>
      <c r="D422" s="68"/>
      <c r="E422" s="68"/>
      <c r="F422" s="19"/>
    </row>
    <row r="423" ht="15.75" customHeight="1">
      <c r="A423" s="19"/>
      <c r="B423" s="66"/>
      <c r="C423" s="67"/>
      <c r="D423" s="68"/>
      <c r="E423" s="68"/>
      <c r="F423" s="19"/>
    </row>
    <row r="424" ht="15.75" customHeight="1">
      <c r="A424" s="19"/>
      <c r="B424" s="66"/>
      <c r="C424" s="67"/>
      <c r="D424" s="68"/>
      <c r="E424" s="68"/>
      <c r="F424" s="19"/>
    </row>
    <row r="425" ht="15.75" customHeight="1">
      <c r="A425" s="19"/>
      <c r="B425" s="66"/>
      <c r="C425" s="67"/>
      <c r="D425" s="68"/>
      <c r="E425" s="68"/>
      <c r="F425" s="19"/>
    </row>
    <row r="426" ht="15.75" customHeight="1">
      <c r="A426" s="19"/>
      <c r="B426" s="66"/>
      <c r="C426" s="67"/>
      <c r="D426" s="68"/>
      <c r="E426" s="68"/>
      <c r="F426" s="19"/>
    </row>
    <row r="427" ht="15.75" customHeight="1">
      <c r="A427" s="19"/>
      <c r="B427" s="66"/>
      <c r="C427" s="67"/>
      <c r="D427" s="68"/>
      <c r="E427" s="68"/>
      <c r="F427" s="19"/>
    </row>
    <row r="428" ht="15.75" customHeight="1">
      <c r="A428" s="19"/>
      <c r="B428" s="66"/>
      <c r="C428" s="67"/>
      <c r="D428" s="68"/>
      <c r="E428" s="68"/>
      <c r="F428" s="19"/>
    </row>
    <row r="429" ht="15.75" customHeight="1">
      <c r="A429" s="19"/>
      <c r="B429" s="66"/>
      <c r="C429" s="67"/>
      <c r="D429" s="68"/>
      <c r="E429" s="68"/>
      <c r="F429" s="19"/>
    </row>
    <row r="430" ht="15.75" customHeight="1">
      <c r="A430" s="19"/>
      <c r="B430" s="66"/>
      <c r="C430" s="67"/>
      <c r="D430" s="68"/>
      <c r="E430" s="68"/>
      <c r="F430" s="19"/>
    </row>
    <row r="431" ht="15.75" customHeight="1">
      <c r="A431" s="19"/>
      <c r="B431" s="66"/>
      <c r="C431" s="67"/>
      <c r="D431" s="68"/>
      <c r="E431" s="68"/>
      <c r="F431" s="19"/>
    </row>
    <row r="432" ht="15.75" customHeight="1">
      <c r="A432" s="19"/>
      <c r="B432" s="66"/>
      <c r="C432" s="67"/>
      <c r="D432" s="68"/>
      <c r="E432" s="68"/>
      <c r="F432" s="19"/>
    </row>
    <row r="433" ht="15.75" customHeight="1">
      <c r="A433" s="19"/>
      <c r="B433" s="66"/>
      <c r="C433" s="67"/>
      <c r="D433" s="68"/>
      <c r="E433" s="68"/>
      <c r="F433" s="19"/>
    </row>
    <row r="434" ht="15.75" customHeight="1">
      <c r="A434" s="19"/>
      <c r="B434" s="66"/>
      <c r="C434" s="67"/>
      <c r="D434" s="68"/>
      <c r="E434" s="68"/>
      <c r="F434" s="19"/>
    </row>
    <row r="435" ht="15.75" customHeight="1">
      <c r="A435" s="19"/>
      <c r="B435" s="66"/>
      <c r="C435" s="67"/>
      <c r="D435" s="68"/>
      <c r="E435" s="68"/>
      <c r="F435" s="19"/>
    </row>
    <row r="436" ht="15.75" customHeight="1">
      <c r="A436" s="19"/>
      <c r="B436" s="66"/>
      <c r="C436" s="67"/>
      <c r="D436" s="68"/>
      <c r="E436" s="68"/>
      <c r="F436" s="19"/>
    </row>
    <row r="437" ht="15.75" customHeight="1">
      <c r="A437" s="19"/>
      <c r="B437" s="66"/>
      <c r="C437" s="67"/>
      <c r="D437" s="68"/>
      <c r="E437" s="68"/>
      <c r="F437" s="19"/>
    </row>
    <row r="438" ht="15.75" customHeight="1">
      <c r="A438" s="19"/>
      <c r="B438" s="66"/>
      <c r="C438" s="67"/>
      <c r="D438" s="68"/>
      <c r="E438" s="68"/>
      <c r="F438" s="19"/>
    </row>
    <row r="439" ht="15.75" customHeight="1">
      <c r="A439" s="19"/>
      <c r="B439" s="66"/>
      <c r="C439" s="67"/>
      <c r="D439" s="68"/>
      <c r="E439" s="68"/>
      <c r="F439" s="19"/>
    </row>
    <row r="440" ht="15.75" customHeight="1">
      <c r="A440" s="19"/>
      <c r="B440" s="66"/>
      <c r="C440" s="67"/>
      <c r="D440" s="68"/>
      <c r="E440" s="68"/>
      <c r="F440" s="19"/>
    </row>
    <row r="441" ht="15.75" customHeight="1">
      <c r="A441" s="19"/>
      <c r="B441" s="66"/>
      <c r="C441" s="67"/>
      <c r="D441" s="68"/>
      <c r="E441" s="68"/>
      <c r="F441" s="19"/>
    </row>
    <row r="442" ht="15.75" customHeight="1">
      <c r="A442" s="19"/>
      <c r="B442" s="66"/>
      <c r="C442" s="67"/>
      <c r="D442" s="68"/>
      <c r="E442" s="68"/>
      <c r="F442" s="19"/>
    </row>
    <row r="443" ht="15.75" customHeight="1">
      <c r="A443" s="19"/>
      <c r="B443" s="66"/>
      <c r="C443" s="67"/>
      <c r="D443" s="68"/>
      <c r="E443" s="68"/>
      <c r="F443" s="19"/>
    </row>
    <row r="444" ht="15.75" customHeight="1">
      <c r="A444" s="19"/>
      <c r="B444" s="66"/>
      <c r="C444" s="67"/>
      <c r="D444" s="68"/>
      <c r="E444" s="68"/>
      <c r="F444" s="19"/>
    </row>
    <row r="445" ht="15.75" customHeight="1">
      <c r="A445" s="19"/>
      <c r="B445" s="66"/>
      <c r="C445" s="67"/>
      <c r="D445" s="68"/>
      <c r="E445" s="68"/>
      <c r="F445" s="19"/>
    </row>
    <row r="446" ht="15.75" customHeight="1">
      <c r="A446" s="19"/>
      <c r="B446" s="66"/>
      <c r="C446" s="67"/>
      <c r="D446" s="68"/>
      <c r="E446" s="68"/>
      <c r="F446" s="19"/>
    </row>
    <row r="447" ht="15.75" customHeight="1">
      <c r="A447" s="19"/>
      <c r="B447" s="66"/>
      <c r="C447" s="67"/>
      <c r="D447" s="68"/>
      <c r="E447" s="68"/>
      <c r="F447" s="19"/>
    </row>
    <row r="448" ht="15.75" customHeight="1">
      <c r="A448" s="19"/>
      <c r="B448" s="66"/>
      <c r="C448" s="67"/>
      <c r="D448" s="68"/>
      <c r="E448" s="68"/>
      <c r="F448" s="19"/>
    </row>
    <row r="449" ht="15.75" customHeight="1">
      <c r="A449" s="19"/>
      <c r="B449" s="66"/>
      <c r="C449" s="67"/>
      <c r="D449" s="68"/>
      <c r="E449" s="68"/>
      <c r="F449" s="19"/>
    </row>
    <row r="450" ht="15.75" customHeight="1">
      <c r="A450" s="19"/>
      <c r="B450" s="66"/>
      <c r="C450" s="67"/>
      <c r="D450" s="68"/>
      <c r="E450" s="68"/>
      <c r="F450" s="19"/>
    </row>
    <row r="451" ht="15.75" customHeight="1">
      <c r="A451" s="19"/>
      <c r="B451" s="66"/>
      <c r="C451" s="67"/>
      <c r="D451" s="68"/>
      <c r="E451" s="68"/>
      <c r="F451" s="19"/>
    </row>
    <row r="452" ht="15.75" customHeight="1">
      <c r="A452" s="19"/>
      <c r="B452" s="66"/>
      <c r="C452" s="67"/>
      <c r="D452" s="68"/>
      <c r="E452" s="68"/>
      <c r="F452" s="19"/>
    </row>
    <row r="453" ht="15.75" customHeight="1">
      <c r="A453" s="19"/>
      <c r="B453" s="66"/>
      <c r="C453" s="67"/>
      <c r="D453" s="68"/>
      <c r="E453" s="68"/>
      <c r="F453" s="19"/>
    </row>
    <row r="454" ht="15.75" customHeight="1">
      <c r="A454" s="19"/>
      <c r="B454" s="66"/>
      <c r="C454" s="67"/>
      <c r="D454" s="68"/>
      <c r="E454" s="68"/>
      <c r="F454" s="19"/>
    </row>
    <row r="455" ht="15.75" customHeight="1">
      <c r="A455" s="19"/>
      <c r="B455" s="66"/>
      <c r="C455" s="67"/>
      <c r="D455" s="68"/>
      <c r="E455" s="68"/>
      <c r="F455" s="19"/>
    </row>
    <row r="456" ht="15.75" customHeight="1">
      <c r="A456" s="19"/>
      <c r="B456" s="66"/>
      <c r="C456" s="67"/>
      <c r="D456" s="68"/>
      <c r="E456" s="68"/>
      <c r="F456" s="19"/>
    </row>
    <row r="457" ht="15.75" customHeight="1">
      <c r="A457" s="19"/>
      <c r="B457" s="66"/>
      <c r="C457" s="67"/>
      <c r="D457" s="68"/>
      <c r="E457" s="68"/>
      <c r="F457" s="19"/>
    </row>
    <row r="458" ht="15.75" customHeight="1">
      <c r="A458" s="19"/>
      <c r="B458" s="66"/>
      <c r="C458" s="67"/>
      <c r="D458" s="68"/>
      <c r="E458" s="68"/>
      <c r="F458" s="19"/>
    </row>
    <row r="459" ht="15.75" customHeight="1">
      <c r="A459" s="19"/>
      <c r="B459" s="66"/>
      <c r="C459" s="67"/>
      <c r="D459" s="68"/>
      <c r="E459" s="68"/>
      <c r="F459" s="19"/>
    </row>
    <row r="460" ht="15.75" customHeight="1">
      <c r="A460" s="19"/>
      <c r="B460" s="66"/>
      <c r="C460" s="67"/>
      <c r="D460" s="68"/>
      <c r="E460" s="68"/>
      <c r="F460" s="19"/>
    </row>
    <row r="461" ht="15.75" customHeight="1">
      <c r="A461" s="19"/>
      <c r="B461" s="66"/>
      <c r="C461" s="67"/>
      <c r="D461" s="68"/>
      <c r="E461" s="68"/>
      <c r="F461" s="19"/>
    </row>
    <row r="462" ht="15.75" customHeight="1">
      <c r="A462" s="19"/>
      <c r="B462" s="66"/>
      <c r="C462" s="67"/>
      <c r="D462" s="68"/>
      <c r="E462" s="68"/>
      <c r="F462" s="19"/>
    </row>
    <row r="463" ht="15.75" customHeight="1">
      <c r="A463" s="19"/>
      <c r="B463" s="66"/>
      <c r="C463" s="67"/>
      <c r="D463" s="68"/>
      <c r="E463" s="68"/>
      <c r="F463" s="19"/>
    </row>
    <row r="464" ht="15.75" customHeight="1">
      <c r="A464" s="19"/>
      <c r="B464" s="66"/>
      <c r="C464" s="67"/>
      <c r="D464" s="68"/>
      <c r="E464" s="68"/>
      <c r="F464" s="19"/>
    </row>
    <row r="465" ht="15.75" customHeight="1">
      <c r="A465" s="19"/>
      <c r="B465" s="66"/>
      <c r="C465" s="67"/>
      <c r="D465" s="68"/>
      <c r="E465" s="68"/>
      <c r="F465" s="19"/>
    </row>
    <row r="466" ht="15.75" customHeight="1">
      <c r="A466" s="19"/>
      <c r="B466" s="66"/>
      <c r="C466" s="67"/>
      <c r="D466" s="68"/>
      <c r="E466" s="68"/>
      <c r="F466" s="19"/>
    </row>
    <row r="467" ht="15.75" customHeight="1">
      <c r="A467" s="19"/>
      <c r="B467" s="66"/>
      <c r="C467" s="67"/>
      <c r="D467" s="68"/>
      <c r="E467" s="68"/>
      <c r="F467" s="19"/>
    </row>
    <row r="468" ht="15.75" customHeight="1">
      <c r="A468" s="19"/>
      <c r="B468" s="66"/>
      <c r="C468" s="67"/>
      <c r="D468" s="68"/>
      <c r="E468" s="68"/>
      <c r="F468" s="19"/>
    </row>
    <row r="469" ht="15.75" customHeight="1">
      <c r="A469" s="19"/>
      <c r="B469" s="66"/>
      <c r="C469" s="67"/>
      <c r="D469" s="68"/>
      <c r="E469" s="68"/>
      <c r="F469" s="19"/>
    </row>
    <row r="470" ht="15.75" customHeight="1">
      <c r="A470" s="19"/>
      <c r="B470" s="66"/>
      <c r="C470" s="67"/>
      <c r="D470" s="68"/>
      <c r="E470" s="68"/>
      <c r="F470" s="19"/>
    </row>
    <row r="471" ht="15.75" customHeight="1">
      <c r="A471" s="19"/>
      <c r="B471" s="66"/>
      <c r="C471" s="67"/>
      <c r="D471" s="68"/>
      <c r="E471" s="68"/>
      <c r="F471" s="19"/>
    </row>
    <row r="472" ht="15.75" customHeight="1">
      <c r="A472" s="19"/>
      <c r="B472" s="66"/>
      <c r="C472" s="67"/>
      <c r="D472" s="68"/>
      <c r="E472" s="68"/>
      <c r="F472" s="19"/>
    </row>
    <row r="473" ht="15.75" customHeight="1">
      <c r="A473" s="19"/>
      <c r="B473" s="66"/>
      <c r="C473" s="67"/>
      <c r="D473" s="68"/>
      <c r="E473" s="68"/>
      <c r="F473" s="19"/>
    </row>
    <row r="474" ht="15.75" customHeight="1">
      <c r="A474" s="19"/>
      <c r="B474" s="66"/>
      <c r="C474" s="67"/>
      <c r="D474" s="68"/>
      <c r="E474" s="68"/>
      <c r="F474" s="19"/>
    </row>
    <row r="475" ht="15.75" customHeight="1">
      <c r="A475" s="19"/>
      <c r="B475" s="66"/>
      <c r="C475" s="67"/>
      <c r="D475" s="68"/>
      <c r="E475" s="68"/>
      <c r="F475" s="19"/>
    </row>
    <row r="476" ht="15.75" customHeight="1">
      <c r="A476" s="19"/>
      <c r="B476" s="66"/>
      <c r="C476" s="67"/>
      <c r="D476" s="68"/>
      <c r="E476" s="68"/>
      <c r="F476" s="19"/>
    </row>
    <row r="477" ht="15.75" customHeight="1">
      <c r="A477" s="19"/>
      <c r="B477" s="66"/>
      <c r="C477" s="67"/>
      <c r="D477" s="68"/>
      <c r="E477" s="68"/>
      <c r="F477" s="19"/>
    </row>
    <row r="478" ht="15.75" customHeight="1">
      <c r="A478" s="19"/>
      <c r="B478" s="66"/>
      <c r="C478" s="67"/>
      <c r="D478" s="68"/>
      <c r="E478" s="68"/>
      <c r="F478" s="19"/>
    </row>
    <row r="479" ht="15.75" customHeight="1">
      <c r="A479" s="19"/>
      <c r="B479" s="66"/>
      <c r="C479" s="67"/>
      <c r="D479" s="68"/>
      <c r="E479" s="68"/>
      <c r="F479" s="19"/>
    </row>
    <row r="480" ht="15.75" customHeight="1">
      <c r="A480" s="19"/>
      <c r="B480" s="66"/>
      <c r="C480" s="67"/>
      <c r="D480" s="68"/>
      <c r="E480" s="68"/>
      <c r="F480" s="19"/>
    </row>
    <row r="481" ht="15.75" customHeight="1">
      <c r="A481" s="19"/>
      <c r="B481" s="66"/>
      <c r="C481" s="67"/>
      <c r="D481" s="68"/>
      <c r="E481" s="68"/>
      <c r="F481" s="19"/>
    </row>
    <row r="482" ht="15.75" customHeight="1">
      <c r="A482" s="19"/>
      <c r="B482" s="66"/>
      <c r="C482" s="67"/>
      <c r="D482" s="68"/>
      <c r="E482" s="68"/>
      <c r="F482" s="19"/>
    </row>
    <row r="483" ht="15.75" customHeight="1">
      <c r="A483" s="19"/>
      <c r="B483" s="66"/>
      <c r="C483" s="67"/>
      <c r="D483" s="68"/>
      <c r="E483" s="68"/>
      <c r="F483" s="19"/>
    </row>
    <row r="484" ht="15.75" customHeight="1">
      <c r="A484" s="19"/>
      <c r="B484" s="66"/>
      <c r="C484" s="67"/>
      <c r="D484" s="68"/>
      <c r="E484" s="68"/>
      <c r="F484" s="19"/>
    </row>
    <row r="485" ht="15.75" customHeight="1">
      <c r="A485" s="19"/>
      <c r="B485" s="66"/>
      <c r="C485" s="67"/>
      <c r="D485" s="68"/>
      <c r="E485" s="68"/>
      <c r="F485" s="19"/>
    </row>
    <row r="486" ht="15.75" customHeight="1">
      <c r="A486" s="19"/>
      <c r="B486" s="66"/>
      <c r="C486" s="67"/>
      <c r="D486" s="68"/>
      <c r="E486" s="68"/>
      <c r="F486" s="19"/>
    </row>
    <row r="487" ht="15.75" customHeight="1">
      <c r="A487" s="19"/>
      <c r="B487" s="66"/>
      <c r="C487" s="67"/>
      <c r="D487" s="68"/>
      <c r="E487" s="68"/>
      <c r="F487" s="19"/>
    </row>
    <row r="488" ht="15.75" customHeight="1">
      <c r="A488" s="19"/>
      <c r="B488" s="66"/>
      <c r="C488" s="67"/>
      <c r="D488" s="68"/>
      <c r="E488" s="68"/>
      <c r="F488" s="19"/>
    </row>
    <row r="489" ht="15.75" customHeight="1">
      <c r="A489" s="19"/>
      <c r="B489" s="66"/>
      <c r="C489" s="67"/>
      <c r="D489" s="68"/>
      <c r="E489" s="68"/>
      <c r="F489" s="19"/>
    </row>
    <row r="490" ht="15.75" customHeight="1">
      <c r="A490" s="19"/>
      <c r="B490" s="66"/>
      <c r="C490" s="67"/>
      <c r="D490" s="68"/>
      <c r="E490" s="68"/>
      <c r="F490" s="19"/>
    </row>
    <row r="491" ht="15.75" customHeight="1">
      <c r="A491" s="19"/>
      <c r="B491" s="66"/>
      <c r="C491" s="67"/>
      <c r="D491" s="68"/>
      <c r="E491" s="68"/>
      <c r="F491" s="19"/>
    </row>
    <row r="492" ht="15.75" customHeight="1">
      <c r="A492" s="19"/>
      <c r="B492" s="66"/>
      <c r="C492" s="67"/>
      <c r="D492" s="68"/>
      <c r="E492" s="68"/>
      <c r="F492" s="19"/>
    </row>
    <row r="493" ht="15.75" customHeight="1">
      <c r="A493" s="19"/>
      <c r="B493" s="66"/>
      <c r="C493" s="67"/>
      <c r="D493" s="68"/>
      <c r="E493" s="68"/>
      <c r="F493" s="19"/>
    </row>
    <row r="494" ht="15.75" customHeight="1">
      <c r="A494" s="19"/>
      <c r="B494" s="66"/>
      <c r="C494" s="67"/>
      <c r="D494" s="68"/>
      <c r="E494" s="68"/>
      <c r="F494" s="19"/>
    </row>
    <row r="495" ht="15.75" customHeight="1">
      <c r="A495" s="19"/>
      <c r="B495" s="66"/>
      <c r="C495" s="67"/>
      <c r="D495" s="68"/>
      <c r="E495" s="68"/>
      <c r="F495" s="19"/>
    </row>
    <row r="496" ht="15.75" customHeight="1">
      <c r="A496" s="19"/>
      <c r="B496" s="66"/>
      <c r="C496" s="67"/>
      <c r="D496" s="68"/>
      <c r="E496" s="68"/>
      <c r="F496" s="19"/>
    </row>
    <row r="497" ht="15.75" customHeight="1">
      <c r="A497" s="19"/>
      <c r="B497" s="66"/>
      <c r="C497" s="67"/>
      <c r="D497" s="68"/>
      <c r="E497" s="68"/>
      <c r="F497" s="19"/>
    </row>
    <row r="498" ht="15.75" customHeight="1">
      <c r="A498" s="19"/>
      <c r="B498" s="66"/>
      <c r="C498" s="67"/>
      <c r="D498" s="68"/>
      <c r="E498" s="68"/>
      <c r="F498" s="19"/>
    </row>
    <row r="499" ht="15.75" customHeight="1">
      <c r="A499" s="19"/>
      <c r="B499" s="66"/>
      <c r="C499" s="67"/>
      <c r="D499" s="68"/>
      <c r="E499" s="68"/>
      <c r="F499" s="19"/>
    </row>
    <row r="500" ht="15.75" customHeight="1">
      <c r="A500" s="19"/>
      <c r="B500" s="66"/>
      <c r="C500" s="67"/>
      <c r="D500" s="68"/>
      <c r="E500" s="68"/>
      <c r="F500" s="19"/>
    </row>
    <row r="501" ht="15.75" customHeight="1">
      <c r="A501" s="19"/>
      <c r="B501" s="66"/>
      <c r="C501" s="67"/>
      <c r="D501" s="68"/>
      <c r="E501" s="68"/>
      <c r="F501" s="19"/>
    </row>
    <row r="502" ht="15.75" customHeight="1">
      <c r="A502" s="19"/>
      <c r="B502" s="66"/>
      <c r="C502" s="67"/>
      <c r="D502" s="68"/>
      <c r="E502" s="68"/>
      <c r="F502" s="19"/>
    </row>
    <row r="503" ht="15.75" customHeight="1">
      <c r="A503" s="19"/>
      <c r="B503" s="66"/>
      <c r="C503" s="67"/>
      <c r="D503" s="68"/>
      <c r="E503" s="68"/>
      <c r="F503" s="19"/>
    </row>
    <row r="504" ht="15.75" customHeight="1">
      <c r="A504" s="19"/>
      <c r="B504" s="66"/>
      <c r="C504" s="67"/>
      <c r="D504" s="68"/>
      <c r="E504" s="68"/>
      <c r="F504" s="19"/>
    </row>
    <row r="505" ht="15.75" customHeight="1">
      <c r="A505" s="19"/>
      <c r="B505" s="66"/>
      <c r="C505" s="67"/>
      <c r="D505" s="68"/>
      <c r="E505" s="68"/>
      <c r="F505" s="19"/>
    </row>
    <row r="506" ht="15.75" customHeight="1">
      <c r="A506" s="19"/>
      <c r="B506" s="66"/>
      <c r="C506" s="67"/>
      <c r="D506" s="68"/>
      <c r="E506" s="68"/>
      <c r="F506" s="19"/>
    </row>
    <row r="507" ht="15.75" customHeight="1">
      <c r="A507" s="19"/>
      <c r="B507" s="66"/>
      <c r="C507" s="67"/>
      <c r="D507" s="68"/>
      <c r="E507" s="68"/>
      <c r="F507" s="19"/>
    </row>
    <row r="508" ht="15.75" customHeight="1">
      <c r="A508" s="19"/>
      <c r="B508" s="66"/>
      <c r="C508" s="67"/>
      <c r="D508" s="68"/>
      <c r="E508" s="68"/>
      <c r="F508" s="19"/>
    </row>
    <row r="509" ht="15.75" customHeight="1">
      <c r="A509" s="19"/>
      <c r="B509" s="66"/>
      <c r="C509" s="67"/>
      <c r="D509" s="68"/>
      <c r="E509" s="68"/>
      <c r="F509" s="19"/>
    </row>
    <row r="510" ht="15.75" customHeight="1">
      <c r="A510" s="19"/>
      <c r="B510" s="66"/>
      <c r="C510" s="67"/>
      <c r="D510" s="68"/>
      <c r="E510" s="68"/>
      <c r="F510" s="19"/>
    </row>
    <row r="511" ht="15.75" customHeight="1">
      <c r="A511" s="19"/>
      <c r="B511" s="66"/>
      <c r="C511" s="67"/>
      <c r="D511" s="68"/>
      <c r="E511" s="68"/>
      <c r="F511" s="19"/>
    </row>
    <row r="512" ht="15.75" customHeight="1">
      <c r="A512" s="19"/>
      <c r="B512" s="66"/>
      <c r="C512" s="67"/>
      <c r="D512" s="68"/>
      <c r="E512" s="68"/>
      <c r="F512" s="19"/>
    </row>
    <row r="513" ht="15.75" customHeight="1">
      <c r="A513" s="19"/>
      <c r="B513" s="66"/>
      <c r="C513" s="67"/>
      <c r="D513" s="68"/>
      <c r="E513" s="68"/>
      <c r="F513" s="19"/>
    </row>
    <row r="514" ht="15.75" customHeight="1">
      <c r="A514" s="19"/>
      <c r="B514" s="66"/>
      <c r="C514" s="67"/>
      <c r="D514" s="68"/>
      <c r="E514" s="68"/>
      <c r="F514" s="19"/>
    </row>
    <row r="515" ht="15.75" customHeight="1">
      <c r="A515" s="19"/>
      <c r="B515" s="66"/>
      <c r="C515" s="67"/>
      <c r="D515" s="68"/>
      <c r="E515" s="68"/>
      <c r="F515" s="19"/>
    </row>
    <row r="516" ht="15.75" customHeight="1">
      <c r="A516" s="19"/>
      <c r="B516" s="66"/>
      <c r="C516" s="67"/>
      <c r="D516" s="68"/>
      <c r="E516" s="68"/>
      <c r="F516" s="19"/>
    </row>
    <row r="517" ht="15.75" customHeight="1">
      <c r="A517" s="19"/>
      <c r="B517" s="66"/>
      <c r="C517" s="67"/>
      <c r="D517" s="68"/>
      <c r="E517" s="68"/>
      <c r="F517" s="19"/>
    </row>
    <row r="518" ht="15.75" customHeight="1">
      <c r="A518" s="19"/>
      <c r="B518" s="66"/>
      <c r="C518" s="67"/>
      <c r="D518" s="68"/>
      <c r="E518" s="68"/>
      <c r="F518" s="19"/>
    </row>
    <row r="519" ht="15.75" customHeight="1">
      <c r="A519" s="19"/>
      <c r="B519" s="66"/>
      <c r="C519" s="67"/>
      <c r="D519" s="68"/>
      <c r="E519" s="68"/>
      <c r="F519" s="19"/>
    </row>
    <row r="520" ht="15.75" customHeight="1">
      <c r="A520" s="19"/>
      <c r="B520" s="66"/>
      <c r="C520" s="67"/>
      <c r="D520" s="68"/>
      <c r="E520" s="68"/>
      <c r="F520" s="19"/>
    </row>
    <row r="521" ht="15.75" customHeight="1">
      <c r="A521" s="19"/>
      <c r="B521" s="66"/>
      <c r="C521" s="67"/>
      <c r="D521" s="68"/>
      <c r="E521" s="68"/>
      <c r="F521" s="19"/>
    </row>
    <row r="522" ht="15.75" customHeight="1">
      <c r="A522" s="19"/>
      <c r="B522" s="66"/>
      <c r="C522" s="67"/>
      <c r="D522" s="68"/>
      <c r="E522" s="68"/>
      <c r="F522" s="19"/>
    </row>
    <row r="523" ht="15.75" customHeight="1">
      <c r="A523" s="19"/>
      <c r="B523" s="66"/>
      <c r="C523" s="67"/>
      <c r="D523" s="68"/>
      <c r="E523" s="68"/>
      <c r="F523" s="19"/>
    </row>
    <row r="524" ht="15.75" customHeight="1">
      <c r="A524" s="19"/>
      <c r="B524" s="66"/>
      <c r="C524" s="67"/>
      <c r="D524" s="68"/>
      <c r="E524" s="68"/>
      <c r="F524" s="19"/>
    </row>
    <row r="525" ht="15.75" customHeight="1">
      <c r="A525" s="19"/>
      <c r="B525" s="66"/>
      <c r="C525" s="67"/>
      <c r="D525" s="68"/>
      <c r="E525" s="68"/>
      <c r="F525" s="19"/>
    </row>
    <row r="526" ht="15.75" customHeight="1">
      <c r="A526" s="19"/>
      <c r="B526" s="66"/>
      <c r="C526" s="67"/>
      <c r="D526" s="68"/>
      <c r="E526" s="68"/>
      <c r="F526" s="19"/>
    </row>
    <row r="527" ht="15.75" customHeight="1">
      <c r="A527" s="19"/>
      <c r="B527" s="66"/>
      <c r="C527" s="67"/>
      <c r="D527" s="68"/>
      <c r="E527" s="68"/>
      <c r="F527" s="19"/>
    </row>
    <row r="528" ht="15.75" customHeight="1">
      <c r="A528" s="19"/>
      <c r="B528" s="66"/>
      <c r="C528" s="67"/>
      <c r="D528" s="68"/>
      <c r="E528" s="68"/>
      <c r="F528" s="19"/>
    </row>
    <row r="529" ht="15.75" customHeight="1">
      <c r="A529" s="19"/>
      <c r="B529" s="66"/>
      <c r="C529" s="67"/>
      <c r="D529" s="68"/>
      <c r="E529" s="68"/>
      <c r="F529" s="19"/>
    </row>
    <row r="530" ht="15.75" customHeight="1">
      <c r="A530" s="19"/>
      <c r="B530" s="66"/>
      <c r="C530" s="67"/>
      <c r="D530" s="68"/>
      <c r="E530" s="68"/>
      <c r="F530" s="19"/>
    </row>
    <row r="531" ht="15.75" customHeight="1">
      <c r="A531" s="19"/>
      <c r="B531" s="66"/>
      <c r="C531" s="67"/>
      <c r="D531" s="68"/>
      <c r="E531" s="68"/>
      <c r="F531" s="19"/>
    </row>
    <row r="532" ht="15.75" customHeight="1">
      <c r="A532" s="19"/>
      <c r="B532" s="66"/>
      <c r="C532" s="67"/>
      <c r="D532" s="68"/>
      <c r="E532" s="68"/>
      <c r="F532" s="19"/>
    </row>
    <row r="533" ht="15.75" customHeight="1">
      <c r="A533" s="19"/>
      <c r="B533" s="66"/>
      <c r="C533" s="67"/>
      <c r="D533" s="68"/>
      <c r="E533" s="68"/>
      <c r="F533" s="19"/>
    </row>
    <row r="534" ht="15.75" customHeight="1">
      <c r="A534" s="19"/>
      <c r="B534" s="66"/>
      <c r="C534" s="67"/>
      <c r="D534" s="68"/>
      <c r="E534" s="68"/>
      <c r="F534" s="19"/>
    </row>
    <row r="535" ht="15.75" customHeight="1">
      <c r="A535" s="19"/>
      <c r="B535" s="66"/>
      <c r="C535" s="67"/>
      <c r="D535" s="68"/>
      <c r="E535" s="68"/>
      <c r="F535" s="19"/>
    </row>
    <row r="536" ht="15.75" customHeight="1">
      <c r="A536" s="19"/>
      <c r="B536" s="66"/>
      <c r="C536" s="67"/>
      <c r="D536" s="68"/>
      <c r="E536" s="68"/>
      <c r="F536" s="19"/>
    </row>
    <row r="537" ht="15.75" customHeight="1">
      <c r="A537" s="19"/>
      <c r="B537" s="66"/>
      <c r="C537" s="67"/>
      <c r="D537" s="68"/>
      <c r="E537" s="68"/>
      <c r="F537" s="19"/>
    </row>
    <row r="538" ht="15.75" customHeight="1">
      <c r="A538" s="19"/>
      <c r="B538" s="66"/>
      <c r="C538" s="67"/>
      <c r="D538" s="68"/>
      <c r="E538" s="68"/>
      <c r="F538" s="19"/>
    </row>
    <row r="539" ht="15.75" customHeight="1">
      <c r="A539" s="19"/>
      <c r="B539" s="66"/>
      <c r="C539" s="67"/>
      <c r="D539" s="68"/>
      <c r="E539" s="68"/>
      <c r="F539" s="19"/>
    </row>
    <row r="540" ht="15.75" customHeight="1">
      <c r="A540" s="19"/>
      <c r="B540" s="66"/>
      <c r="C540" s="67"/>
      <c r="D540" s="68"/>
      <c r="E540" s="68"/>
      <c r="F540" s="19"/>
    </row>
    <row r="541" ht="15.75" customHeight="1">
      <c r="A541" s="19"/>
      <c r="B541" s="66"/>
      <c r="C541" s="67"/>
      <c r="D541" s="68"/>
      <c r="E541" s="68"/>
      <c r="F541" s="19"/>
    </row>
    <row r="542" ht="15.75" customHeight="1">
      <c r="A542" s="19"/>
      <c r="B542" s="66"/>
      <c r="C542" s="67"/>
      <c r="D542" s="68"/>
      <c r="E542" s="68"/>
      <c r="F542" s="19"/>
    </row>
    <row r="543" ht="15.75" customHeight="1">
      <c r="A543" s="19"/>
      <c r="B543" s="66"/>
      <c r="C543" s="67"/>
      <c r="D543" s="68"/>
      <c r="E543" s="68"/>
      <c r="F543" s="19"/>
    </row>
    <row r="544" ht="15.75" customHeight="1">
      <c r="A544" s="19"/>
      <c r="B544" s="66"/>
      <c r="C544" s="67"/>
      <c r="D544" s="68"/>
      <c r="E544" s="68"/>
      <c r="F544" s="19"/>
    </row>
    <row r="545" ht="15.75" customHeight="1">
      <c r="A545" s="19"/>
      <c r="B545" s="66"/>
      <c r="C545" s="67"/>
      <c r="D545" s="68"/>
      <c r="E545" s="68"/>
      <c r="F545" s="19"/>
    </row>
    <row r="546" ht="15.75" customHeight="1">
      <c r="A546" s="19"/>
      <c r="B546" s="66"/>
      <c r="C546" s="67"/>
      <c r="D546" s="68"/>
      <c r="E546" s="68"/>
      <c r="F546" s="19"/>
    </row>
    <row r="547" ht="15.75" customHeight="1">
      <c r="A547" s="19"/>
      <c r="B547" s="66"/>
      <c r="C547" s="67"/>
      <c r="D547" s="68"/>
      <c r="E547" s="68"/>
      <c r="F547" s="19"/>
    </row>
    <row r="548" ht="15.75" customHeight="1">
      <c r="A548" s="19"/>
      <c r="B548" s="66"/>
      <c r="C548" s="67"/>
      <c r="D548" s="68"/>
      <c r="E548" s="68"/>
      <c r="F548" s="19"/>
    </row>
    <row r="549" ht="15.75" customHeight="1">
      <c r="A549" s="19"/>
      <c r="B549" s="66"/>
      <c r="C549" s="67"/>
      <c r="D549" s="68"/>
      <c r="E549" s="68"/>
      <c r="F549" s="19"/>
    </row>
    <row r="550" ht="15.75" customHeight="1">
      <c r="A550" s="19"/>
      <c r="B550" s="66"/>
      <c r="C550" s="67"/>
      <c r="D550" s="68"/>
      <c r="E550" s="68"/>
      <c r="F550" s="19"/>
    </row>
    <row r="551" ht="15.75" customHeight="1">
      <c r="A551" s="19"/>
      <c r="B551" s="66"/>
      <c r="C551" s="67"/>
      <c r="D551" s="68"/>
      <c r="E551" s="68"/>
      <c r="F551" s="19"/>
    </row>
    <row r="552" ht="15.75" customHeight="1">
      <c r="A552" s="19"/>
      <c r="B552" s="66"/>
      <c r="C552" s="67"/>
      <c r="D552" s="68"/>
      <c r="E552" s="68"/>
      <c r="F552" s="19"/>
    </row>
    <row r="553" ht="15.75" customHeight="1">
      <c r="A553" s="19"/>
      <c r="B553" s="66"/>
      <c r="C553" s="67"/>
      <c r="D553" s="68"/>
      <c r="E553" s="68"/>
      <c r="F553" s="19"/>
    </row>
    <row r="554" ht="15.75" customHeight="1">
      <c r="A554" s="19"/>
      <c r="B554" s="66"/>
      <c r="C554" s="67"/>
      <c r="D554" s="68"/>
      <c r="E554" s="68"/>
      <c r="F554" s="19"/>
    </row>
    <row r="555" ht="15.75" customHeight="1">
      <c r="A555" s="19"/>
      <c r="B555" s="66"/>
      <c r="C555" s="67"/>
      <c r="D555" s="68"/>
      <c r="E555" s="68"/>
      <c r="F555" s="19"/>
    </row>
    <row r="556" ht="15.75" customHeight="1">
      <c r="A556" s="19"/>
      <c r="B556" s="66"/>
      <c r="C556" s="67"/>
      <c r="D556" s="68"/>
      <c r="E556" s="68"/>
      <c r="F556" s="19"/>
    </row>
    <row r="557" ht="15.75" customHeight="1">
      <c r="A557" s="19"/>
      <c r="B557" s="66"/>
      <c r="C557" s="67"/>
      <c r="D557" s="68"/>
      <c r="E557" s="68"/>
      <c r="F557" s="19"/>
    </row>
    <row r="558" ht="15.75" customHeight="1">
      <c r="A558" s="19"/>
      <c r="B558" s="66"/>
      <c r="C558" s="67"/>
      <c r="D558" s="68"/>
      <c r="E558" s="68"/>
      <c r="F558" s="19"/>
    </row>
    <row r="559" ht="15.75" customHeight="1">
      <c r="A559" s="19"/>
      <c r="B559" s="66"/>
      <c r="C559" s="67"/>
      <c r="D559" s="68"/>
      <c r="E559" s="68"/>
      <c r="F559" s="19"/>
    </row>
    <row r="560" ht="15.75" customHeight="1">
      <c r="A560" s="19"/>
      <c r="B560" s="66"/>
      <c r="C560" s="67"/>
      <c r="D560" s="68"/>
      <c r="E560" s="68"/>
      <c r="F560" s="19"/>
    </row>
    <row r="561" ht="15.75" customHeight="1">
      <c r="A561" s="19"/>
      <c r="B561" s="66"/>
      <c r="C561" s="67"/>
      <c r="D561" s="68"/>
      <c r="E561" s="68"/>
      <c r="F561" s="19"/>
    </row>
    <row r="562" ht="15.75" customHeight="1">
      <c r="A562" s="19"/>
      <c r="B562" s="66"/>
      <c r="C562" s="67"/>
      <c r="D562" s="68"/>
      <c r="E562" s="68"/>
      <c r="F562" s="19"/>
    </row>
    <row r="563" ht="15.75" customHeight="1">
      <c r="A563" s="19"/>
      <c r="B563" s="66"/>
      <c r="C563" s="67"/>
      <c r="D563" s="68"/>
      <c r="E563" s="68"/>
      <c r="F563" s="19"/>
    </row>
    <row r="564" ht="15.75" customHeight="1">
      <c r="A564" s="19"/>
      <c r="B564" s="66"/>
      <c r="C564" s="67"/>
      <c r="D564" s="68"/>
      <c r="E564" s="68"/>
      <c r="F564" s="19"/>
    </row>
    <row r="565" ht="15.75" customHeight="1">
      <c r="A565" s="19"/>
      <c r="B565" s="66"/>
      <c r="C565" s="67"/>
      <c r="D565" s="68"/>
      <c r="E565" s="68"/>
      <c r="F565" s="19"/>
    </row>
    <row r="566" ht="15.75" customHeight="1">
      <c r="A566" s="19"/>
      <c r="B566" s="66"/>
      <c r="C566" s="67"/>
      <c r="D566" s="68"/>
      <c r="E566" s="68"/>
      <c r="F566" s="19"/>
    </row>
    <row r="567" ht="15.75" customHeight="1">
      <c r="A567" s="19"/>
      <c r="B567" s="66"/>
      <c r="C567" s="67"/>
      <c r="D567" s="68"/>
      <c r="E567" s="68"/>
      <c r="F567" s="19"/>
    </row>
    <row r="568" ht="15.75" customHeight="1">
      <c r="A568" s="19"/>
      <c r="B568" s="66"/>
      <c r="C568" s="67"/>
      <c r="D568" s="68"/>
      <c r="E568" s="68"/>
      <c r="F568" s="19"/>
    </row>
    <row r="569" ht="15.75" customHeight="1">
      <c r="A569" s="19"/>
      <c r="B569" s="66"/>
      <c r="C569" s="67"/>
      <c r="D569" s="68"/>
      <c r="E569" s="68"/>
      <c r="F569" s="19"/>
    </row>
    <row r="570" ht="15.75" customHeight="1">
      <c r="A570" s="19"/>
      <c r="B570" s="66"/>
      <c r="C570" s="67"/>
      <c r="D570" s="68"/>
      <c r="E570" s="68"/>
      <c r="F570" s="19"/>
    </row>
    <row r="571" ht="15.75" customHeight="1">
      <c r="A571" s="19"/>
      <c r="B571" s="66"/>
      <c r="C571" s="67"/>
      <c r="D571" s="68"/>
      <c r="E571" s="68"/>
      <c r="F571" s="19"/>
    </row>
    <row r="572" ht="15.75" customHeight="1">
      <c r="A572" s="19"/>
      <c r="B572" s="66"/>
      <c r="C572" s="67"/>
      <c r="D572" s="68"/>
      <c r="E572" s="68"/>
      <c r="F572" s="19"/>
    </row>
    <row r="573" ht="15.75" customHeight="1">
      <c r="A573" s="19"/>
      <c r="B573" s="66"/>
      <c r="C573" s="67"/>
      <c r="D573" s="68"/>
      <c r="E573" s="68"/>
      <c r="F573" s="19"/>
    </row>
    <row r="574" ht="15.75" customHeight="1">
      <c r="A574" s="19"/>
      <c r="B574" s="66"/>
      <c r="C574" s="67"/>
      <c r="D574" s="68"/>
      <c r="E574" s="68"/>
      <c r="F574" s="19"/>
    </row>
    <row r="575" ht="15.75" customHeight="1">
      <c r="A575" s="19"/>
      <c r="B575" s="66"/>
      <c r="C575" s="67"/>
      <c r="D575" s="68"/>
      <c r="E575" s="68"/>
      <c r="F575" s="19"/>
    </row>
    <row r="576" ht="15.75" customHeight="1">
      <c r="A576" s="19"/>
      <c r="B576" s="66"/>
      <c r="C576" s="67"/>
      <c r="D576" s="68"/>
      <c r="E576" s="68"/>
      <c r="F576" s="19"/>
    </row>
    <row r="577" ht="15.75" customHeight="1">
      <c r="A577" s="19"/>
      <c r="B577" s="66"/>
      <c r="C577" s="67"/>
      <c r="D577" s="68"/>
      <c r="E577" s="68"/>
      <c r="F577" s="19"/>
    </row>
    <row r="578" ht="15.75" customHeight="1">
      <c r="A578" s="19"/>
      <c r="B578" s="66"/>
      <c r="C578" s="67"/>
      <c r="D578" s="68"/>
      <c r="E578" s="68"/>
      <c r="F578" s="19"/>
    </row>
    <row r="579" ht="15.75" customHeight="1">
      <c r="A579" s="19"/>
      <c r="B579" s="66"/>
      <c r="C579" s="67"/>
      <c r="D579" s="68"/>
      <c r="E579" s="68"/>
      <c r="F579" s="19"/>
    </row>
    <row r="580" ht="15.75" customHeight="1">
      <c r="A580" s="19"/>
      <c r="B580" s="66"/>
      <c r="C580" s="67"/>
      <c r="D580" s="68"/>
      <c r="E580" s="68"/>
      <c r="F580" s="19"/>
    </row>
    <row r="581" ht="15.75" customHeight="1">
      <c r="A581" s="19"/>
      <c r="B581" s="66"/>
      <c r="C581" s="67"/>
      <c r="D581" s="68"/>
      <c r="E581" s="68"/>
      <c r="F581" s="19"/>
    </row>
    <row r="582" ht="15.75" customHeight="1">
      <c r="A582" s="19"/>
      <c r="B582" s="66"/>
      <c r="C582" s="67"/>
      <c r="D582" s="68"/>
      <c r="E582" s="68"/>
      <c r="F582" s="19"/>
    </row>
    <row r="583" ht="15.75" customHeight="1">
      <c r="A583" s="19"/>
      <c r="B583" s="66"/>
      <c r="C583" s="67"/>
      <c r="D583" s="68"/>
      <c r="E583" s="68"/>
      <c r="F583" s="19"/>
    </row>
    <row r="584" ht="15.75" customHeight="1">
      <c r="A584" s="19"/>
      <c r="B584" s="66"/>
      <c r="C584" s="67"/>
      <c r="D584" s="68"/>
      <c r="E584" s="68"/>
      <c r="F584" s="19"/>
    </row>
    <row r="585" ht="15.75" customHeight="1">
      <c r="A585" s="19"/>
      <c r="B585" s="66"/>
      <c r="C585" s="67"/>
      <c r="D585" s="68"/>
      <c r="E585" s="68"/>
      <c r="F585" s="19"/>
    </row>
    <row r="586" ht="15.75" customHeight="1">
      <c r="A586" s="19"/>
      <c r="B586" s="66"/>
      <c r="C586" s="67"/>
      <c r="D586" s="68"/>
      <c r="E586" s="68"/>
      <c r="F586" s="19"/>
    </row>
    <row r="587" ht="15.75" customHeight="1">
      <c r="A587" s="19"/>
      <c r="B587" s="66"/>
      <c r="C587" s="67"/>
      <c r="D587" s="68"/>
      <c r="E587" s="68"/>
      <c r="F587" s="19"/>
    </row>
    <row r="588" ht="15.75" customHeight="1">
      <c r="A588" s="19"/>
      <c r="B588" s="66"/>
      <c r="C588" s="67"/>
      <c r="D588" s="68"/>
      <c r="E588" s="68"/>
      <c r="F588" s="19"/>
    </row>
    <row r="589" ht="15.75" customHeight="1">
      <c r="A589" s="19"/>
      <c r="B589" s="66"/>
      <c r="C589" s="67"/>
      <c r="D589" s="68"/>
      <c r="E589" s="68"/>
      <c r="F589" s="19"/>
    </row>
    <row r="590" ht="15.75" customHeight="1">
      <c r="A590" s="19"/>
      <c r="B590" s="66"/>
      <c r="C590" s="67"/>
      <c r="D590" s="68"/>
      <c r="E590" s="68"/>
      <c r="F590" s="19"/>
    </row>
    <row r="591" ht="15.75" customHeight="1">
      <c r="A591" s="19"/>
      <c r="B591" s="66"/>
      <c r="C591" s="67"/>
      <c r="D591" s="68"/>
      <c r="E591" s="68"/>
      <c r="F591" s="19"/>
    </row>
    <row r="592" ht="15.75" customHeight="1">
      <c r="A592" s="19"/>
      <c r="B592" s="66"/>
      <c r="C592" s="67"/>
      <c r="D592" s="68"/>
      <c r="E592" s="68"/>
      <c r="F592" s="19"/>
    </row>
    <row r="593" ht="15.75" customHeight="1">
      <c r="A593" s="19"/>
      <c r="B593" s="66"/>
      <c r="C593" s="67"/>
      <c r="D593" s="68"/>
      <c r="E593" s="68"/>
      <c r="F593" s="19"/>
    </row>
    <row r="594" ht="15.75" customHeight="1">
      <c r="A594" s="19"/>
      <c r="B594" s="66"/>
      <c r="C594" s="67"/>
      <c r="D594" s="68"/>
      <c r="E594" s="68"/>
      <c r="F594" s="19"/>
    </row>
    <row r="595" ht="15.75" customHeight="1">
      <c r="A595" s="19"/>
      <c r="B595" s="66"/>
      <c r="C595" s="67"/>
      <c r="D595" s="68"/>
      <c r="E595" s="68"/>
      <c r="F595" s="19"/>
    </row>
    <row r="596" ht="15.75" customHeight="1">
      <c r="A596" s="19"/>
      <c r="B596" s="66"/>
      <c r="C596" s="67"/>
      <c r="D596" s="68"/>
      <c r="E596" s="68"/>
      <c r="F596" s="19"/>
    </row>
    <row r="597" ht="15.75" customHeight="1">
      <c r="A597" s="19"/>
      <c r="B597" s="66"/>
      <c r="C597" s="67"/>
      <c r="D597" s="68"/>
      <c r="E597" s="68"/>
      <c r="F597" s="19"/>
    </row>
    <row r="598" ht="15.75" customHeight="1">
      <c r="A598" s="19"/>
      <c r="B598" s="66"/>
      <c r="C598" s="67"/>
      <c r="D598" s="68"/>
      <c r="E598" s="68"/>
      <c r="F598" s="19"/>
    </row>
    <row r="599" ht="15.75" customHeight="1">
      <c r="A599" s="19"/>
      <c r="B599" s="66"/>
      <c r="C599" s="67"/>
      <c r="D599" s="68"/>
      <c r="E599" s="68"/>
      <c r="F599" s="19"/>
    </row>
    <row r="600" ht="15.75" customHeight="1">
      <c r="A600" s="19"/>
      <c r="B600" s="66"/>
      <c r="C600" s="67"/>
      <c r="D600" s="68"/>
      <c r="E600" s="68"/>
      <c r="F600" s="19"/>
    </row>
    <row r="601" ht="15.75" customHeight="1">
      <c r="A601" s="19"/>
      <c r="B601" s="66"/>
      <c r="C601" s="67"/>
      <c r="D601" s="68"/>
      <c r="E601" s="68"/>
      <c r="F601" s="19"/>
    </row>
    <row r="602" ht="15.75" customHeight="1">
      <c r="A602" s="19"/>
      <c r="B602" s="66"/>
      <c r="C602" s="67"/>
      <c r="D602" s="68"/>
      <c r="E602" s="68"/>
      <c r="F602" s="19"/>
    </row>
    <row r="603" ht="15.75" customHeight="1">
      <c r="A603" s="19"/>
      <c r="B603" s="66"/>
      <c r="C603" s="67"/>
      <c r="D603" s="68"/>
      <c r="E603" s="68"/>
      <c r="F603" s="19"/>
    </row>
    <row r="604" ht="15.75" customHeight="1">
      <c r="A604" s="19"/>
      <c r="B604" s="66"/>
      <c r="C604" s="67"/>
      <c r="D604" s="68"/>
      <c r="E604" s="68"/>
      <c r="F604" s="19"/>
    </row>
    <row r="605" ht="15.75" customHeight="1">
      <c r="A605" s="19"/>
      <c r="B605" s="66"/>
      <c r="C605" s="67"/>
      <c r="D605" s="68"/>
      <c r="E605" s="68"/>
      <c r="F605" s="19"/>
    </row>
    <row r="606" ht="15.75" customHeight="1">
      <c r="A606" s="19"/>
      <c r="B606" s="66"/>
      <c r="C606" s="67"/>
      <c r="D606" s="68"/>
      <c r="E606" s="68"/>
      <c r="F606" s="19"/>
    </row>
    <row r="607" ht="15.75" customHeight="1">
      <c r="A607" s="19"/>
      <c r="B607" s="66"/>
      <c r="C607" s="67"/>
      <c r="D607" s="68"/>
      <c r="E607" s="68"/>
      <c r="F607" s="19"/>
    </row>
    <row r="608" ht="15.75" customHeight="1">
      <c r="A608" s="19"/>
      <c r="B608" s="66"/>
      <c r="C608" s="67"/>
      <c r="D608" s="68"/>
      <c r="E608" s="68"/>
      <c r="F608" s="19"/>
    </row>
    <row r="609" ht="15.75" customHeight="1">
      <c r="A609" s="19"/>
      <c r="B609" s="66"/>
      <c r="C609" s="67"/>
      <c r="D609" s="68"/>
      <c r="E609" s="68"/>
      <c r="F609" s="19"/>
    </row>
    <row r="610" ht="15.75" customHeight="1">
      <c r="A610" s="19"/>
      <c r="B610" s="66"/>
      <c r="C610" s="67"/>
      <c r="D610" s="68"/>
      <c r="E610" s="68"/>
      <c r="F610" s="19"/>
    </row>
    <row r="611" ht="15.75" customHeight="1">
      <c r="A611" s="19"/>
      <c r="B611" s="66"/>
      <c r="C611" s="67"/>
      <c r="D611" s="68"/>
      <c r="E611" s="68"/>
      <c r="F611" s="19"/>
    </row>
    <row r="612" ht="15.75" customHeight="1">
      <c r="A612" s="19"/>
      <c r="B612" s="66"/>
      <c r="C612" s="67"/>
      <c r="D612" s="68"/>
      <c r="E612" s="68"/>
      <c r="F612" s="19"/>
    </row>
    <row r="613" ht="15.75" customHeight="1">
      <c r="A613" s="19"/>
      <c r="B613" s="66"/>
      <c r="C613" s="67"/>
      <c r="D613" s="68"/>
      <c r="E613" s="68"/>
      <c r="F613" s="19"/>
    </row>
    <row r="614" ht="15.75" customHeight="1">
      <c r="A614" s="19"/>
      <c r="B614" s="66"/>
      <c r="C614" s="67"/>
      <c r="D614" s="68"/>
      <c r="E614" s="68"/>
      <c r="F614" s="19"/>
    </row>
    <row r="615" ht="15.75" customHeight="1">
      <c r="A615" s="19"/>
      <c r="B615" s="66"/>
      <c r="C615" s="67"/>
      <c r="D615" s="68"/>
      <c r="E615" s="68"/>
      <c r="F615" s="19"/>
    </row>
    <row r="616" ht="15.75" customHeight="1">
      <c r="A616" s="19"/>
      <c r="B616" s="66"/>
      <c r="C616" s="67"/>
      <c r="D616" s="68"/>
      <c r="E616" s="68"/>
      <c r="F616" s="19"/>
    </row>
    <row r="617" ht="15.75" customHeight="1">
      <c r="A617" s="19"/>
      <c r="B617" s="66"/>
      <c r="C617" s="67"/>
      <c r="D617" s="68"/>
      <c r="E617" s="68"/>
      <c r="F617" s="19"/>
    </row>
    <row r="618" ht="15.75" customHeight="1">
      <c r="A618" s="19"/>
      <c r="B618" s="66"/>
      <c r="C618" s="67"/>
      <c r="D618" s="68"/>
      <c r="E618" s="68"/>
      <c r="F618" s="19"/>
    </row>
    <row r="619" ht="15.75" customHeight="1">
      <c r="A619" s="19"/>
      <c r="B619" s="66"/>
      <c r="C619" s="67"/>
      <c r="D619" s="68"/>
      <c r="E619" s="68"/>
      <c r="F619" s="19"/>
    </row>
    <row r="620" ht="15.75" customHeight="1">
      <c r="A620" s="19"/>
      <c r="B620" s="66"/>
      <c r="C620" s="67"/>
      <c r="D620" s="68"/>
      <c r="E620" s="68"/>
      <c r="F620" s="19"/>
    </row>
    <row r="621" ht="15.75" customHeight="1">
      <c r="A621" s="19"/>
      <c r="B621" s="66"/>
      <c r="C621" s="67"/>
      <c r="D621" s="68"/>
      <c r="E621" s="68"/>
      <c r="F621" s="19"/>
    </row>
    <row r="622" ht="15.75" customHeight="1">
      <c r="A622" s="19"/>
      <c r="B622" s="66"/>
      <c r="C622" s="67"/>
      <c r="D622" s="68"/>
      <c r="E622" s="68"/>
      <c r="F622" s="19"/>
    </row>
    <row r="623" ht="15.75" customHeight="1">
      <c r="A623" s="19"/>
      <c r="B623" s="66"/>
      <c r="C623" s="67"/>
      <c r="D623" s="68"/>
      <c r="E623" s="68"/>
      <c r="F623" s="19"/>
    </row>
    <row r="624" ht="15.75" customHeight="1">
      <c r="A624" s="19"/>
      <c r="B624" s="66"/>
      <c r="C624" s="67"/>
      <c r="D624" s="68"/>
      <c r="E624" s="68"/>
      <c r="F624" s="19"/>
    </row>
    <row r="625" ht="15.75" customHeight="1">
      <c r="A625" s="19"/>
      <c r="B625" s="66"/>
      <c r="C625" s="67"/>
      <c r="D625" s="68"/>
      <c r="E625" s="68"/>
      <c r="F625" s="19"/>
    </row>
    <row r="626" ht="15.75" customHeight="1">
      <c r="A626" s="19"/>
      <c r="B626" s="66"/>
      <c r="C626" s="67"/>
      <c r="D626" s="68"/>
      <c r="E626" s="68"/>
      <c r="F626" s="19"/>
    </row>
    <row r="627" ht="15.75" customHeight="1">
      <c r="A627" s="19"/>
      <c r="B627" s="66"/>
      <c r="C627" s="67"/>
      <c r="D627" s="68"/>
      <c r="E627" s="68"/>
      <c r="F627" s="19"/>
    </row>
    <row r="628" ht="15.75" customHeight="1">
      <c r="A628" s="19"/>
      <c r="B628" s="66"/>
      <c r="C628" s="67"/>
      <c r="D628" s="68"/>
      <c r="E628" s="68"/>
      <c r="F628" s="19"/>
    </row>
    <row r="629" ht="15.75" customHeight="1">
      <c r="A629" s="19"/>
      <c r="B629" s="66"/>
      <c r="C629" s="67"/>
      <c r="D629" s="68"/>
      <c r="E629" s="68"/>
      <c r="F629" s="19"/>
    </row>
    <row r="630" ht="15.75" customHeight="1">
      <c r="A630" s="19"/>
      <c r="B630" s="66"/>
      <c r="C630" s="67"/>
      <c r="D630" s="68"/>
      <c r="E630" s="68"/>
      <c r="F630" s="19"/>
    </row>
    <row r="631" ht="15.75" customHeight="1">
      <c r="A631" s="19"/>
      <c r="B631" s="66"/>
      <c r="C631" s="67"/>
      <c r="D631" s="68"/>
      <c r="E631" s="68"/>
      <c r="F631" s="19"/>
    </row>
    <row r="632" ht="15.75" customHeight="1">
      <c r="A632" s="19"/>
      <c r="B632" s="66"/>
      <c r="C632" s="67"/>
      <c r="D632" s="68"/>
      <c r="E632" s="68"/>
      <c r="F632" s="19"/>
    </row>
    <row r="633" ht="15.75" customHeight="1">
      <c r="A633" s="19"/>
      <c r="B633" s="66"/>
      <c r="C633" s="67"/>
      <c r="D633" s="68"/>
      <c r="E633" s="68"/>
      <c r="F633" s="19"/>
    </row>
    <row r="634" ht="15.75" customHeight="1">
      <c r="A634" s="19"/>
      <c r="B634" s="66"/>
      <c r="C634" s="67"/>
      <c r="D634" s="68"/>
      <c r="E634" s="68"/>
      <c r="F634" s="19"/>
    </row>
    <row r="635" ht="15.75" customHeight="1">
      <c r="A635" s="19"/>
      <c r="B635" s="66"/>
      <c r="C635" s="67"/>
      <c r="D635" s="68"/>
      <c r="E635" s="68"/>
      <c r="F635" s="19"/>
    </row>
    <row r="636" ht="15.75" customHeight="1">
      <c r="A636" s="19"/>
      <c r="B636" s="66"/>
      <c r="C636" s="67"/>
      <c r="D636" s="68"/>
      <c r="E636" s="68"/>
      <c r="F636" s="19"/>
    </row>
    <row r="637" ht="15.75" customHeight="1">
      <c r="A637" s="19"/>
      <c r="B637" s="66"/>
      <c r="C637" s="67"/>
      <c r="D637" s="68"/>
      <c r="E637" s="68"/>
      <c r="F637" s="19"/>
    </row>
    <row r="638" ht="15.75" customHeight="1">
      <c r="A638" s="19"/>
      <c r="B638" s="66"/>
      <c r="C638" s="67"/>
      <c r="D638" s="68"/>
      <c r="E638" s="68"/>
      <c r="F638" s="19"/>
    </row>
    <row r="639" ht="15.75" customHeight="1">
      <c r="A639" s="19"/>
      <c r="B639" s="66"/>
      <c r="C639" s="67"/>
      <c r="D639" s="68"/>
      <c r="E639" s="68"/>
      <c r="F639" s="19"/>
    </row>
    <row r="640" ht="15.75" customHeight="1">
      <c r="A640" s="19"/>
      <c r="B640" s="66"/>
      <c r="C640" s="67"/>
      <c r="D640" s="68"/>
      <c r="E640" s="68"/>
      <c r="F640" s="19"/>
    </row>
    <row r="641" ht="15.75" customHeight="1">
      <c r="A641" s="19"/>
      <c r="B641" s="66"/>
      <c r="C641" s="67"/>
      <c r="D641" s="68"/>
      <c r="E641" s="68"/>
      <c r="F641" s="19"/>
    </row>
    <row r="642" ht="15.75" customHeight="1">
      <c r="A642" s="19"/>
      <c r="B642" s="66"/>
      <c r="C642" s="67"/>
      <c r="D642" s="68"/>
      <c r="E642" s="68"/>
      <c r="F642" s="19"/>
    </row>
    <row r="643" ht="15.75" customHeight="1">
      <c r="A643" s="19"/>
      <c r="B643" s="66"/>
      <c r="C643" s="67"/>
      <c r="D643" s="68"/>
      <c r="E643" s="68"/>
      <c r="F643" s="19"/>
    </row>
    <row r="644" ht="15.75" customHeight="1">
      <c r="A644" s="19"/>
      <c r="B644" s="66"/>
      <c r="C644" s="67"/>
      <c r="D644" s="68"/>
      <c r="E644" s="68"/>
      <c r="F644" s="19"/>
    </row>
    <row r="645" ht="15.75" customHeight="1">
      <c r="A645" s="19"/>
      <c r="B645" s="66"/>
      <c r="C645" s="67"/>
      <c r="D645" s="68"/>
      <c r="E645" s="68"/>
      <c r="F645" s="19"/>
    </row>
    <row r="646" ht="15.75" customHeight="1">
      <c r="A646" s="19"/>
      <c r="B646" s="66"/>
      <c r="C646" s="67"/>
      <c r="D646" s="68"/>
      <c r="E646" s="68"/>
      <c r="F646" s="19"/>
    </row>
    <row r="647" ht="15.75" customHeight="1">
      <c r="A647" s="19"/>
      <c r="B647" s="66"/>
      <c r="C647" s="67"/>
      <c r="D647" s="68"/>
      <c r="E647" s="68"/>
      <c r="F647" s="19"/>
    </row>
    <row r="648" ht="15.75" customHeight="1">
      <c r="A648" s="19"/>
      <c r="B648" s="66"/>
      <c r="C648" s="67"/>
      <c r="D648" s="68"/>
      <c r="E648" s="68"/>
      <c r="F648" s="19"/>
    </row>
    <row r="649" ht="15.75" customHeight="1">
      <c r="A649" s="19"/>
      <c r="B649" s="66"/>
      <c r="C649" s="67"/>
      <c r="D649" s="68"/>
      <c r="E649" s="68"/>
      <c r="F649" s="19"/>
    </row>
    <row r="650" ht="15.75" customHeight="1">
      <c r="A650" s="19"/>
      <c r="B650" s="66"/>
      <c r="C650" s="67"/>
      <c r="D650" s="68"/>
      <c r="E650" s="68"/>
      <c r="F650" s="19"/>
    </row>
    <row r="651" ht="15.75" customHeight="1">
      <c r="A651" s="19"/>
      <c r="B651" s="66"/>
      <c r="C651" s="67"/>
      <c r="D651" s="68"/>
      <c r="E651" s="68"/>
      <c r="F651" s="19"/>
    </row>
    <row r="652" ht="15.75" customHeight="1">
      <c r="A652" s="19"/>
      <c r="B652" s="66"/>
      <c r="C652" s="67"/>
      <c r="D652" s="68"/>
      <c r="E652" s="68"/>
      <c r="F652" s="19"/>
    </row>
    <row r="653" ht="15.75" customHeight="1">
      <c r="A653" s="19"/>
      <c r="B653" s="66"/>
      <c r="C653" s="67"/>
      <c r="D653" s="68"/>
      <c r="E653" s="68"/>
      <c r="F653" s="19"/>
    </row>
    <row r="654" ht="15.75" customHeight="1">
      <c r="A654" s="19"/>
      <c r="B654" s="66"/>
      <c r="C654" s="67"/>
      <c r="D654" s="68"/>
      <c r="E654" s="68"/>
      <c r="F654" s="19"/>
    </row>
    <row r="655" ht="15.75" customHeight="1">
      <c r="A655" s="19"/>
      <c r="B655" s="66"/>
      <c r="C655" s="67"/>
      <c r="D655" s="68"/>
      <c r="E655" s="68"/>
      <c r="F655" s="19"/>
    </row>
    <row r="656" ht="15.75" customHeight="1">
      <c r="A656" s="19"/>
      <c r="B656" s="66"/>
      <c r="C656" s="67"/>
      <c r="D656" s="68"/>
      <c r="E656" s="68"/>
      <c r="F656" s="19"/>
    </row>
    <row r="657" ht="15.75" customHeight="1">
      <c r="A657" s="19"/>
      <c r="B657" s="66"/>
      <c r="C657" s="67"/>
      <c r="D657" s="68"/>
      <c r="E657" s="68"/>
      <c r="F657" s="19"/>
    </row>
    <row r="658" ht="15.75" customHeight="1">
      <c r="A658" s="19"/>
      <c r="B658" s="66"/>
      <c r="C658" s="67"/>
      <c r="D658" s="68"/>
      <c r="E658" s="68"/>
      <c r="F658" s="19"/>
    </row>
    <row r="659" ht="15.75" customHeight="1">
      <c r="A659" s="19"/>
      <c r="B659" s="66"/>
      <c r="C659" s="67"/>
      <c r="D659" s="68"/>
      <c r="E659" s="68"/>
      <c r="F659" s="19"/>
    </row>
    <row r="660" ht="15.75" customHeight="1">
      <c r="A660" s="19"/>
      <c r="B660" s="66"/>
      <c r="C660" s="67"/>
      <c r="D660" s="68"/>
      <c r="E660" s="68"/>
      <c r="F660" s="19"/>
    </row>
    <row r="661" ht="15.75" customHeight="1">
      <c r="A661" s="19"/>
      <c r="B661" s="66"/>
      <c r="C661" s="67"/>
      <c r="D661" s="68"/>
      <c r="E661" s="68"/>
      <c r="F661" s="19"/>
    </row>
    <row r="662" ht="15.75" customHeight="1">
      <c r="A662" s="19"/>
      <c r="B662" s="66"/>
      <c r="C662" s="67"/>
      <c r="D662" s="68"/>
      <c r="E662" s="68"/>
      <c r="F662" s="19"/>
    </row>
    <row r="663" ht="15.75" customHeight="1">
      <c r="A663" s="19"/>
      <c r="B663" s="66"/>
      <c r="C663" s="67"/>
      <c r="D663" s="68"/>
      <c r="E663" s="68"/>
      <c r="F663" s="19"/>
    </row>
    <row r="664" ht="15.75" customHeight="1">
      <c r="A664" s="19"/>
      <c r="B664" s="66"/>
      <c r="C664" s="67"/>
      <c r="D664" s="68"/>
      <c r="E664" s="68"/>
      <c r="F664" s="19"/>
    </row>
    <row r="665" ht="15.75" customHeight="1">
      <c r="A665" s="19"/>
      <c r="B665" s="66"/>
      <c r="C665" s="67"/>
      <c r="D665" s="68"/>
      <c r="E665" s="68"/>
      <c r="F665" s="19"/>
    </row>
    <row r="666" ht="15.75" customHeight="1">
      <c r="A666" s="19"/>
      <c r="B666" s="66"/>
      <c r="C666" s="67"/>
      <c r="D666" s="68"/>
      <c r="E666" s="68"/>
      <c r="F666" s="19"/>
    </row>
    <row r="667" ht="15.75" customHeight="1">
      <c r="A667" s="19"/>
      <c r="B667" s="66"/>
      <c r="C667" s="67"/>
      <c r="D667" s="68"/>
      <c r="E667" s="68"/>
      <c r="F667" s="19"/>
    </row>
    <row r="668" ht="15.75" customHeight="1">
      <c r="A668" s="19"/>
      <c r="B668" s="66"/>
      <c r="C668" s="67"/>
      <c r="D668" s="68"/>
      <c r="E668" s="68"/>
      <c r="F668" s="19"/>
    </row>
    <row r="669" ht="15.75" customHeight="1">
      <c r="A669" s="19"/>
      <c r="B669" s="66"/>
      <c r="C669" s="67"/>
      <c r="D669" s="68"/>
      <c r="E669" s="68"/>
      <c r="F669" s="19"/>
    </row>
    <row r="670" ht="15.75" customHeight="1">
      <c r="A670" s="19"/>
      <c r="B670" s="66"/>
      <c r="C670" s="67"/>
      <c r="D670" s="68"/>
      <c r="E670" s="68"/>
      <c r="F670" s="19"/>
    </row>
    <row r="671" ht="15.75" customHeight="1">
      <c r="A671" s="19"/>
      <c r="B671" s="66"/>
      <c r="C671" s="67"/>
      <c r="D671" s="68"/>
      <c r="E671" s="68"/>
      <c r="F671" s="19"/>
    </row>
    <row r="672" ht="15.75" customHeight="1">
      <c r="A672" s="19"/>
      <c r="B672" s="66"/>
      <c r="C672" s="67"/>
      <c r="D672" s="68"/>
      <c r="E672" s="68"/>
      <c r="F672" s="19"/>
    </row>
    <row r="673" ht="15.75" customHeight="1">
      <c r="A673" s="19"/>
      <c r="B673" s="66"/>
      <c r="C673" s="67"/>
      <c r="D673" s="68"/>
      <c r="E673" s="68"/>
      <c r="F673" s="19"/>
    </row>
    <row r="674" ht="15.75" customHeight="1">
      <c r="A674" s="19"/>
      <c r="B674" s="66"/>
      <c r="C674" s="67"/>
      <c r="D674" s="68"/>
      <c r="E674" s="68"/>
      <c r="F674" s="19"/>
    </row>
    <row r="675" ht="15.75" customHeight="1">
      <c r="A675" s="19"/>
      <c r="B675" s="66"/>
      <c r="C675" s="67"/>
      <c r="D675" s="68"/>
      <c r="E675" s="68"/>
      <c r="F675" s="19"/>
    </row>
    <row r="676" ht="15.75" customHeight="1">
      <c r="A676" s="19"/>
      <c r="B676" s="66"/>
      <c r="C676" s="67"/>
      <c r="D676" s="68"/>
      <c r="E676" s="68"/>
      <c r="F676" s="19"/>
    </row>
    <row r="677" ht="15.75" customHeight="1">
      <c r="A677" s="19"/>
      <c r="B677" s="66"/>
      <c r="C677" s="67"/>
      <c r="D677" s="68"/>
      <c r="E677" s="68"/>
      <c r="F677" s="19"/>
    </row>
    <row r="678" ht="15.75" customHeight="1">
      <c r="A678" s="19"/>
      <c r="B678" s="66"/>
      <c r="C678" s="67"/>
      <c r="D678" s="68"/>
      <c r="E678" s="68"/>
      <c r="F678" s="19"/>
    </row>
    <row r="679" ht="15.75" customHeight="1">
      <c r="A679" s="19"/>
      <c r="B679" s="66"/>
      <c r="C679" s="67"/>
      <c r="D679" s="68"/>
      <c r="E679" s="68"/>
      <c r="F679" s="19"/>
    </row>
    <row r="680" ht="15.75" customHeight="1">
      <c r="A680" s="19"/>
      <c r="B680" s="66"/>
      <c r="C680" s="67"/>
      <c r="D680" s="68"/>
      <c r="E680" s="68"/>
      <c r="F680" s="19"/>
    </row>
    <row r="681" ht="15.75" customHeight="1">
      <c r="A681" s="19"/>
      <c r="B681" s="66"/>
      <c r="C681" s="67"/>
      <c r="D681" s="68"/>
      <c r="E681" s="68"/>
      <c r="F681" s="19"/>
    </row>
    <row r="682" ht="15.75" customHeight="1">
      <c r="A682" s="19"/>
      <c r="B682" s="66"/>
      <c r="C682" s="67"/>
      <c r="D682" s="68"/>
      <c r="E682" s="68"/>
      <c r="F682" s="19"/>
    </row>
    <row r="683" ht="15.75" customHeight="1">
      <c r="A683" s="19"/>
      <c r="B683" s="66"/>
      <c r="C683" s="67"/>
      <c r="D683" s="68"/>
      <c r="E683" s="68"/>
      <c r="F683" s="19"/>
    </row>
    <row r="684" ht="15.75" customHeight="1">
      <c r="A684" s="19"/>
      <c r="B684" s="66"/>
      <c r="C684" s="67"/>
      <c r="D684" s="68"/>
      <c r="E684" s="68"/>
      <c r="F684" s="19"/>
    </row>
    <row r="685" ht="15.75" customHeight="1">
      <c r="A685" s="19"/>
      <c r="B685" s="66"/>
      <c r="C685" s="67"/>
      <c r="D685" s="68"/>
      <c r="E685" s="68"/>
      <c r="F685" s="19"/>
    </row>
    <row r="686" ht="15.75" customHeight="1">
      <c r="A686" s="19"/>
      <c r="B686" s="66"/>
      <c r="C686" s="67"/>
      <c r="D686" s="68"/>
      <c r="E686" s="68"/>
      <c r="F686" s="19"/>
    </row>
    <row r="687" ht="15.75" customHeight="1">
      <c r="A687" s="19"/>
      <c r="B687" s="66"/>
      <c r="C687" s="67"/>
      <c r="D687" s="68"/>
      <c r="E687" s="68"/>
      <c r="F687" s="19"/>
    </row>
    <row r="688" ht="15.75" customHeight="1">
      <c r="A688" s="19"/>
      <c r="B688" s="66"/>
      <c r="C688" s="67"/>
      <c r="D688" s="68"/>
      <c r="E688" s="68"/>
      <c r="F688" s="19"/>
    </row>
    <row r="689" ht="15.75" customHeight="1">
      <c r="A689" s="19"/>
      <c r="B689" s="66"/>
      <c r="C689" s="67"/>
      <c r="D689" s="68"/>
      <c r="E689" s="68"/>
      <c r="F689" s="19"/>
    </row>
    <row r="690" ht="15.75" customHeight="1">
      <c r="A690" s="19"/>
      <c r="B690" s="66"/>
      <c r="C690" s="67"/>
      <c r="D690" s="68"/>
      <c r="E690" s="68"/>
      <c r="F690" s="19"/>
    </row>
    <row r="691" ht="15.75" customHeight="1">
      <c r="A691" s="19"/>
      <c r="B691" s="66"/>
      <c r="C691" s="67"/>
      <c r="D691" s="68"/>
      <c r="E691" s="68"/>
      <c r="F691" s="19"/>
    </row>
    <row r="692" ht="15.75" customHeight="1">
      <c r="A692" s="19"/>
      <c r="B692" s="66"/>
      <c r="C692" s="67"/>
      <c r="D692" s="68"/>
      <c r="E692" s="68"/>
      <c r="F692" s="19"/>
    </row>
    <row r="693" ht="15.75" customHeight="1">
      <c r="A693" s="19"/>
      <c r="B693" s="66"/>
      <c r="C693" s="67"/>
      <c r="D693" s="68"/>
      <c r="E693" s="68"/>
      <c r="F693" s="19"/>
    </row>
    <row r="694" ht="15.75" customHeight="1">
      <c r="A694" s="19"/>
      <c r="B694" s="66"/>
      <c r="C694" s="67"/>
      <c r="D694" s="68"/>
      <c r="E694" s="68"/>
      <c r="F694" s="19"/>
    </row>
    <row r="695" ht="15.75" customHeight="1">
      <c r="A695" s="19"/>
      <c r="B695" s="66"/>
      <c r="C695" s="67"/>
      <c r="D695" s="68"/>
      <c r="E695" s="68"/>
      <c r="F695" s="19"/>
    </row>
    <row r="696" ht="15.75" customHeight="1">
      <c r="A696" s="19"/>
      <c r="B696" s="66"/>
      <c r="C696" s="67"/>
      <c r="D696" s="68"/>
      <c r="E696" s="68"/>
      <c r="F696" s="19"/>
    </row>
    <row r="697" ht="15.75" customHeight="1">
      <c r="A697" s="19"/>
      <c r="B697" s="66"/>
      <c r="C697" s="67"/>
      <c r="D697" s="68"/>
      <c r="E697" s="68"/>
      <c r="F697" s="19"/>
    </row>
    <row r="698" ht="15.75" customHeight="1">
      <c r="A698" s="19"/>
      <c r="B698" s="66"/>
      <c r="C698" s="67"/>
      <c r="D698" s="68"/>
      <c r="E698" s="68"/>
      <c r="F698" s="19"/>
    </row>
    <row r="699" ht="15.75" customHeight="1">
      <c r="A699" s="19"/>
      <c r="B699" s="66"/>
      <c r="C699" s="67"/>
      <c r="D699" s="68"/>
      <c r="E699" s="68"/>
      <c r="F699" s="19"/>
    </row>
    <row r="700" ht="15.75" customHeight="1">
      <c r="A700" s="19"/>
      <c r="B700" s="66"/>
      <c r="C700" s="67"/>
      <c r="D700" s="68"/>
      <c r="E700" s="68"/>
      <c r="F700" s="19"/>
    </row>
    <row r="701" ht="15.75" customHeight="1">
      <c r="A701" s="19"/>
      <c r="B701" s="66"/>
      <c r="C701" s="67"/>
      <c r="D701" s="68"/>
      <c r="E701" s="68"/>
      <c r="F701" s="19"/>
    </row>
    <row r="702" ht="15.75" customHeight="1">
      <c r="A702" s="19"/>
      <c r="B702" s="66"/>
      <c r="C702" s="67"/>
      <c r="D702" s="68"/>
      <c r="E702" s="68"/>
      <c r="F702" s="19"/>
    </row>
    <row r="703" ht="15.75" customHeight="1">
      <c r="A703" s="19"/>
      <c r="B703" s="66"/>
      <c r="C703" s="67"/>
      <c r="D703" s="68"/>
      <c r="E703" s="68"/>
      <c r="F703" s="19"/>
    </row>
    <row r="704" ht="15.75" customHeight="1">
      <c r="A704" s="19"/>
      <c r="B704" s="66"/>
      <c r="C704" s="67"/>
      <c r="D704" s="68"/>
      <c r="E704" s="68"/>
      <c r="F704" s="19"/>
    </row>
    <row r="705" ht="15.75" customHeight="1">
      <c r="A705" s="19"/>
      <c r="B705" s="66"/>
      <c r="C705" s="67"/>
      <c r="D705" s="68"/>
      <c r="E705" s="68"/>
      <c r="F705" s="19"/>
    </row>
    <row r="706" ht="15.75" customHeight="1">
      <c r="A706" s="19"/>
      <c r="B706" s="66"/>
      <c r="C706" s="67"/>
      <c r="D706" s="68"/>
      <c r="E706" s="68"/>
      <c r="F706" s="19"/>
    </row>
    <row r="707" ht="15.75" customHeight="1">
      <c r="A707" s="19"/>
      <c r="B707" s="66"/>
      <c r="C707" s="67"/>
      <c r="D707" s="68"/>
      <c r="E707" s="68"/>
      <c r="F707" s="19"/>
    </row>
    <row r="708" ht="15.75" customHeight="1">
      <c r="A708" s="19"/>
      <c r="B708" s="66"/>
      <c r="C708" s="67"/>
      <c r="D708" s="68"/>
      <c r="E708" s="68"/>
      <c r="F708" s="19"/>
    </row>
    <row r="709" ht="15.75" customHeight="1">
      <c r="A709" s="19"/>
      <c r="B709" s="66"/>
      <c r="C709" s="67"/>
      <c r="D709" s="68"/>
      <c r="E709" s="68"/>
      <c r="F709" s="19"/>
    </row>
    <row r="710" ht="15.75" customHeight="1">
      <c r="A710" s="19"/>
      <c r="B710" s="66"/>
      <c r="C710" s="67"/>
      <c r="D710" s="68"/>
      <c r="E710" s="68"/>
      <c r="F710" s="19"/>
    </row>
    <row r="711" ht="15.75" customHeight="1">
      <c r="A711" s="19"/>
      <c r="B711" s="66"/>
      <c r="C711" s="67"/>
      <c r="D711" s="68"/>
      <c r="E711" s="68"/>
      <c r="F711" s="19"/>
    </row>
    <row r="712" ht="15.75" customHeight="1">
      <c r="A712" s="19"/>
      <c r="B712" s="66"/>
      <c r="C712" s="67"/>
      <c r="D712" s="68"/>
      <c r="E712" s="68"/>
      <c r="F712" s="19"/>
    </row>
    <row r="713" ht="15.75" customHeight="1">
      <c r="A713" s="19"/>
      <c r="B713" s="66"/>
      <c r="C713" s="67"/>
      <c r="D713" s="68"/>
      <c r="E713" s="68"/>
      <c r="F713" s="19"/>
    </row>
    <row r="714" ht="15.75" customHeight="1">
      <c r="A714" s="19"/>
      <c r="B714" s="66"/>
      <c r="C714" s="67"/>
      <c r="D714" s="68"/>
      <c r="E714" s="68"/>
      <c r="F714" s="19"/>
    </row>
    <row r="715" ht="15.75" customHeight="1">
      <c r="A715" s="19"/>
      <c r="B715" s="66"/>
      <c r="C715" s="67"/>
      <c r="D715" s="68"/>
      <c r="E715" s="68"/>
      <c r="F715" s="19"/>
    </row>
    <row r="716" ht="15.75" customHeight="1">
      <c r="A716" s="19"/>
      <c r="B716" s="66"/>
      <c r="C716" s="67"/>
      <c r="D716" s="68"/>
      <c r="E716" s="68"/>
      <c r="F716" s="19"/>
    </row>
    <row r="717" ht="15.75" customHeight="1">
      <c r="A717" s="19"/>
      <c r="B717" s="66"/>
      <c r="C717" s="67"/>
      <c r="D717" s="68"/>
      <c r="E717" s="68"/>
      <c r="F717" s="19"/>
    </row>
    <row r="718" ht="15.75" customHeight="1">
      <c r="A718" s="19"/>
      <c r="B718" s="66"/>
      <c r="C718" s="67"/>
      <c r="D718" s="68"/>
      <c r="E718" s="68"/>
      <c r="F718" s="19"/>
    </row>
    <row r="719" ht="15.75" customHeight="1">
      <c r="A719" s="19"/>
      <c r="B719" s="66"/>
      <c r="C719" s="67"/>
      <c r="D719" s="68"/>
      <c r="E719" s="68"/>
      <c r="F719" s="19"/>
    </row>
    <row r="720" ht="15.75" customHeight="1">
      <c r="A720" s="19"/>
      <c r="B720" s="66"/>
      <c r="C720" s="67"/>
      <c r="D720" s="68"/>
      <c r="E720" s="68"/>
      <c r="F720" s="19"/>
    </row>
    <row r="721" ht="15.75" customHeight="1">
      <c r="A721" s="19"/>
      <c r="B721" s="66"/>
      <c r="C721" s="67"/>
      <c r="D721" s="68"/>
      <c r="E721" s="68"/>
      <c r="F721" s="19"/>
    </row>
    <row r="722" ht="15.75" customHeight="1">
      <c r="A722" s="19"/>
      <c r="B722" s="66"/>
      <c r="C722" s="67"/>
      <c r="D722" s="68"/>
      <c r="E722" s="68"/>
      <c r="F722" s="19"/>
    </row>
    <row r="723" ht="15.75" customHeight="1">
      <c r="A723" s="19"/>
      <c r="B723" s="66"/>
      <c r="C723" s="67"/>
      <c r="D723" s="68"/>
      <c r="E723" s="68"/>
      <c r="F723" s="19"/>
    </row>
    <row r="724" ht="15.75" customHeight="1">
      <c r="A724" s="19"/>
      <c r="B724" s="66"/>
      <c r="C724" s="67"/>
      <c r="D724" s="68"/>
      <c r="E724" s="68"/>
      <c r="F724" s="19"/>
    </row>
    <row r="725" ht="15.75" customHeight="1">
      <c r="A725" s="19"/>
      <c r="B725" s="66"/>
      <c r="C725" s="67"/>
      <c r="D725" s="68"/>
      <c r="E725" s="68"/>
      <c r="F725" s="19"/>
    </row>
    <row r="726" ht="15.75" customHeight="1">
      <c r="A726" s="19"/>
      <c r="B726" s="66"/>
      <c r="C726" s="67"/>
      <c r="D726" s="68"/>
      <c r="E726" s="68"/>
      <c r="F726" s="19"/>
    </row>
    <row r="727" ht="15.75" customHeight="1">
      <c r="A727" s="19"/>
      <c r="B727" s="66"/>
      <c r="C727" s="67"/>
      <c r="D727" s="68"/>
      <c r="E727" s="68"/>
      <c r="F727" s="19"/>
    </row>
    <row r="728" ht="15.75" customHeight="1">
      <c r="A728" s="19"/>
      <c r="B728" s="66"/>
      <c r="C728" s="67"/>
      <c r="D728" s="68"/>
      <c r="E728" s="68"/>
      <c r="F728" s="19"/>
    </row>
    <row r="729" ht="15.75" customHeight="1">
      <c r="A729" s="19"/>
      <c r="B729" s="66"/>
      <c r="C729" s="67"/>
      <c r="D729" s="68"/>
      <c r="E729" s="68"/>
      <c r="F729" s="19"/>
    </row>
    <row r="730" ht="15.75" customHeight="1">
      <c r="A730" s="19"/>
      <c r="B730" s="66"/>
      <c r="C730" s="67"/>
      <c r="D730" s="68"/>
      <c r="E730" s="68"/>
      <c r="F730" s="19"/>
    </row>
    <row r="731" ht="15.75" customHeight="1">
      <c r="A731" s="19"/>
      <c r="B731" s="66"/>
      <c r="C731" s="67"/>
      <c r="D731" s="68"/>
      <c r="E731" s="68"/>
      <c r="F731" s="19"/>
    </row>
    <row r="732" ht="15.75" customHeight="1">
      <c r="A732" s="19"/>
      <c r="B732" s="66"/>
      <c r="C732" s="67"/>
      <c r="D732" s="68"/>
      <c r="E732" s="68"/>
      <c r="F732" s="19"/>
    </row>
    <row r="733" ht="15.75" customHeight="1">
      <c r="A733" s="19"/>
      <c r="B733" s="66"/>
      <c r="C733" s="67"/>
      <c r="D733" s="68"/>
      <c r="E733" s="68"/>
      <c r="F733" s="19"/>
    </row>
    <row r="734" ht="15.75" customHeight="1">
      <c r="A734" s="19"/>
      <c r="B734" s="66"/>
      <c r="C734" s="67"/>
      <c r="D734" s="68"/>
      <c r="E734" s="68"/>
      <c r="F734" s="19"/>
    </row>
    <row r="735" ht="15.75" customHeight="1">
      <c r="A735" s="19"/>
      <c r="B735" s="66"/>
      <c r="C735" s="67"/>
      <c r="D735" s="68"/>
      <c r="E735" s="68"/>
      <c r="F735" s="19"/>
    </row>
    <row r="736" ht="15.75" customHeight="1">
      <c r="A736" s="19"/>
      <c r="B736" s="66"/>
      <c r="C736" s="67"/>
      <c r="D736" s="68"/>
      <c r="E736" s="68"/>
      <c r="F736" s="19"/>
    </row>
    <row r="737" ht="15.75" customHeight="1">
      <c r="A737" s="19"/>
      <c r="B737" s="66"/>
      <c r="C737" s="67"/>
      <c r="D737" s="68"/>
      <c r="E737" s="68"/>
      <c r="F737" s="19"/>
    </row>
    <row r="738" ht="15.75" customHeight="1">
      <c r="A738" s="19"/>
      <c r="B738" s="66"/>
      <c r="C738" s="67"/>
      <c r="D738" s="68"/>
      <c r="E738" s="68"/>
      <c r="F738" s="19"/>
    </row>
    <row r="739" ht="15.75" customHeight="1">
      <c r="A739" s="19"/>
      <c r="B739" s="66"/>
      <c r="C739" s="67"/>
      <c r="D739" s="68"/>
      <c r="E739" s="68"/>
      <c r="F739" s="19"/>
    </row>
    <row r="740" ht="15.75" customHeight="1">
      <c r="A740" s="19"/>
      <c r="B740" s="66"/>
      <c r="C740" s="67"/>
      <c r="D740" s="68"/>
      <c r="E740" s="68"/>
      <c r="F740" s="19"/>
    </row>
    <row r="741" ht="15.75" customHeight="1">
      <c r="A741" s="19"/>
      <c r="B741" s="66"/>
      <c r="C741" s="67"/>
      <c r="D741" s="68"/>
      <c r="E741" s="68"/>
      <c r="F741" s="19"/>
    </row>
    <row r="742" ht="15.75" customHeight="1">
      <c r="A742" s="19"/>
      <c r="B742" s="66"/>
      <c r="C742" s="67"/>
      <c r="D742" s="68"/>
      <c r="E742" s="68"/>
      <c r="F742" s="19"/>
    </row>
    <row r="743" ht="15.75" customHeight="1">
      <c r="A743" s="19"/>
      <c r="B743" s="66"/>
      <c r="C743" s="67"/>
      <c r="D743" s="68"/>
      <c r="E743" s="68"/>
      <c r="F743" s="19"/>
    </row>
    <row r="744" ht="15.75" customHeight="1">
      <c r="A744" s="19"/>
      <c r="B744" s="66"/>
      <c r="C744" s="67"/>
      <c r="D744" s="68"/>
      <c r="E744" s="68"/>
      <c r="F744" s="19"/>
    </row>
    <row r="745" ht="15.75" customHeight="1">
      <c r="A745" s="19"/>
      <c r="B745" s="66"/>
      <c r="C745" s="67"/>
      <c r="D745" s="68"/>
      <c r="E745" s="68"/>
      <c r="F745" s="19"/>
    </row>
    <row r="746" ht="15.75" customHeight="1">
      <c r="A746" s="19"/>
      <c r="B746" s="66"/>
      <c r="C746" s="67"/>
      <c r="D746" s="68"/>
      <c r="E746" s="68"/>
      <c r="F746" s="19"/>
    </row>
    <row r="747" ht="15.75" customHeight="1">
      <c r="A747" s="19"/>
      <c r="B747" s="66"/>
      <c r="C747" s="67"/>
      <c r="D747" s="68"/>
      <c r="E747" s="68"/>
      <c r="F747" s="19"/>
    </row>
    <row r="748" ht="15.75" customHeight="1">
      <c r="A748" s="19"/>
      <c r="B748" s="66"/>
      <c r="C748" s="67"/>
      <c r="D748" s="68"/>
      <c r="E748" s="68"/>
      <c r="F748" s="19"/>
    </row>
    <row r="749" ht="15.75" customHeight="1">
      <c r="A749" s="19"/>
      <c r="B749" s="66"/>
      <c r="C749" s="67"/>
      <c r="D749" s="68"/>
      <c r="E749" s="68"/>
      <c r="F749" s="19"/>
    </row>
    <row r="750" ht="15.75" customHeight="1">
      <c r="A750" s="19"/>
      <c r="B750" s="66"/>
      <c r="C750" s="67"/>
      <c r="D750" s="68"/>
      <c r="E750" s="68"/>
      <c r="F750" s="19"/>
    </row>
    <row r="751" ht="15.75" customHeight="1">
      <c r="A751" s="19"/>
      <c r="B751" s="66"/>
      <c r="C751" s="67"/>
      <c r="D751" s="68"/>
      <c r="E751" s="68"/>
      <c r="F751" s="19"/>
    </row>
    <row r="752" ht="15.75" customHeight="1">
      <c r="A752" s="19"/>
      <c r="B752" s="66"/>
      <c r="C752" s="67"/>
      <c r="D752" s="68"/>
      <c r="E752" s="68"/>
      <c r="F752" s="19"/>
    </row>
    <row r="753" ht="15.75" customHeight="1">
      <c r="A753" s="19"/>
      <c r="B753" s="66"/>
      <c r="C753" s="67"/>
      <c r="D753" s="68"/>
      <c r="E753" s="68"/>
      <c r="F753" s="19"/>
    </row>
    <row r="754" ht="15.75" customHeight="1">
      <c r="A754" s="19"/>
      <c r="B754" s="66"/>
      <c r="C754" s="67"/>
      <c r="D754" s="68"/>
      <c r="E754" s="68"/>
      <c r="F754" s="19"/>
    </row>
    <row r="755" ht="15.75" customHeight="1">
      <c r="A755" s="19"/>
      <c r="B755" s="66"/>
      <c r="C755" s="67"/>
      <c r="D755" s="68"/>
      <c r="E755" s="68"/>
      <c r="F755" s="19"/>
    </row>
    <row r="756" ht="15.75" customHeight="1">
      <c r="A756" s="19"/>
      <c r="B756" s="66"/>
      <c r="C756" s="67"/>
      <c r="D756" s="68"/>
      <c r="E756" s="68"/>
      <c r="F756" s="19"/>
    </row>
    <row r="757" ht="15.75" customHeight="1">
      <c r="A757" s="19"/>
      <c r="B757" s="66"/>
      <c r="C757" s="67"/>
      <c r="D757" s="68"/>
      <c r="E757" s="68"/>
      <c r="F757" s="19"/>
    </row>
    <row r="758" ht="15.75" customHeight="1">
      <c r="A758" s="19"/>
      <c r="B758" s="66"/>
      <c r="C758" s="67"/>
      <c r="D758" s="68"/>
      <c r="E758" s="68"/>
      <c r="F758" s="19"/>
    </row>
    <row r="759" ht="15.75" customHeight="1">
      <c r="A759" s="19"/>
      <c r="B759" s="66"/>
      <c r="C759" s="67"/>
      <c r="D759" s="68"/>
      <c r="E759" s="68"/>
      <c r="F759" s="19"/>
    </row>
    <row r="760" ht="15.75" customHeight="1">
      <c r="A760" s="19"/>
      <c r="B760" s="66"/>
      <c r="C760" s="67"/>
      <c r="D760" s="68"/>
      <c r="E760" s="68"/>
      <c r="F760" s="19"/>
    </row>
    <row r="761" ht="15.75" customHeight="1">
      <c r="A761" s="19"/>
      <c r="B761" s="66"/>
      <c r="C761" s="67"/>
      <c r="D761" s="68"/>
      <c r="E761" s="68"/>
      <c r="F761" s="19"/>
    </row>
    <row r="762" ht="15.75" customHeight="1">
      <c r="A762" s="19"/>
      <c r="B762" s="66"/>
      <c r="C762" s="67"/>
      <c r="D762" s="68"/>
      <c r="E762" s="68"/>
      <c r="F762" s="19"/>
    </row>
    <row r="763" ht="15.75" customHeight="1">
      <c r="A763" s="19"/>
      <c r="B763" s="66"/>
      <c r="C763" s="67"/>
      <c r="D763" s="68"/>
      <c r="E763" s="68"/>
      <c r="F763" s="19"/>
    </row>
    <row r="764" ht="15.75" customHeight="1">
      <c r="A764" s="19"/>
      <c r="B764" s="66"/>
      <c r="C764" s="67"/>
      <c r="D764" s="68"/>
      <c r="E764" s="68"/>
      <c r="F764" s="19"/>
    </row>
    <row r="765" ht="15.75" customHeight="1">
      <c r="A765" s="19"/>
      <c r="B765" s="66"/>
      <c r="C765" s="67"/>
      <c r="D765" s="68"/>
      <c r="E765" s="68"/>
      <c r="F765" s="19"/>
    </row>
    <row r="766" ht="15.75" customHeight="1">
      <c r="A766" s="19"/>
      <c r="B766" s="66"/>
      <c r="C766" s="67"/>
      <c r="D766" s="68"/>
      <c r="E766" s="68"/>
      <c r="F766" s="19"/>
    </row>
    <row r="767" ht="15.75" customHeight="1">
      <c r="A767" s="19"/>
      <c r="B767" s="66"/>
      <c r="C767" s="67"/>
      <c r="D767" s="68"/>
      <c r="E767" s="68"/>
      <c r="F767" s="19"/>
    </row>
    <row r="768" ht="15.75" customHeight="1">
      <c r="A768" s="19"/>
      <c r="B768" s="66"/>
      <c r="C768" s="67"/>
      <c r="D768" s="68"/>
      <c r="E768" s="68"/>
      <c r="F768" s="19"/>
    </row>
    <row r="769" ht="15.75" customHeight="1">
      <c r="A769" s="19"/>
      <c r="B769" s="66"/>
      <c r="C769" s="67"/>
      <c r="D769" s="68"/>
      <c r="E769" s="68"/>
      <c r="F769" s="19"/>
    </row>
    <row r="770" ht="15.75" customHeight="1">
      <c r="A770" s="19"/>
      <c r="B770" s="66"/>
      <c r="C770" s="67"/>
      <c r="D770" s="68"/>
      <c r="E770" s="68"/>
      <c r="F770" s="19"/>
    </row>
    <row r="771" ht="15.75" customHeight="1">
      <c r="A771" s="19"/>
      <c r="B771" s="66"/>
      <c r="C771" s="67"/>
      <c r="D771" s="68"/>
      <c r="E771" s="68"/>
      <c r="F771" s="19"/>
    </row>
    <row r="772" ht="15.75" customHeight="1">
      <c r="A772" s="19"/>
      <c r="B772" s="66"/>
      <c r="C772" s="67"/>
      <c r="D772" s="68"/>
      <c r="E772" s="68"/>
      <c r="F772" s="19"/>
    </row>
    <row r="773" ht="15.75" customHeight="1">
      <c r="A773" s="19"/>
      <c r="B773" s="66"/>
      <c r="C773" s="67"/>
      <c r="D773" s="68"/>
      <c r="E773" s="68"/>
      <c r="F773" s="19"/>
    </row>
    <row r="774" ht="15.75" customHeight="1">
      <c r="A774" s="19"/>
      <c r="B774" s="66"/>
      <c r="C774" s="67"/>
      <c r="D774" s="68"/>
      <c r="E774" s="68"/>
      <c r="F774" s="19"/>
    </row>
    <row r="775" ht="15.75" customHeight="1">
      <c r="A775" s="19"/>
      <c r="B775" s="66"/>
      <c r="C775" s="67"/>
      <c r="D775" s="68"/>
      <c r="E775" s="68"/>
      <c r="F775" s="19"/>
    </row>
    <row r="776" ht="15.75" customHeight="1">
      <c r="A776" s="19"/>
      <c r="B776" s="66"/>
      <c r="C776" s="67"/>
      <c r="D776" s="68"/>
      <c r="E776" s="68"/>
      <c r="F776" s="19"/>
    </row>
    <row r="777" ht="15.75" customHeight="1">
      <c r="A777" s="19"/>
      <c r="B777" s="66"/>
      <c r="C777" s="67"/>
      <c r="D777" s="68"/>
      <c r="E777" s="68"/>
      <c r="F777" s="19"/>
    </row>
    <row r="778" ht="15.75" customHeight="1">
      <c r="A778" s="19"/>
      <c r="B778" s="66"/>
      <c r="C778" s="67"/>
      <c r="D778" s="68"/>
      <c r="E778" s="68"/>
      <c r="F778" s="19"/>
    </row>
    <row r="779" ht="15.75" customHeight="1">
      <c r="A779" s="19"/>
      <c r="B779" s="66"/>
      <c r="C779" s="67"/>
      <c r="D779" s="68"/>
      <c r="E779" s="68"/>
      <c r="F779" s="19"/>
    </row>
    <row r="780" ht="15.75" customHeight="1">
      <c r="A780" s="19"/>
      <c r="B780" s="66"/>
      <c r="C780" s="67"/>
      <c r="D780" s="68"/>
      <c r="E780" s="68"/>
      <c r="F780" s="19"/>
    </row>
    <row r="781" ht="15.75" customHeight="1">
      <c r="A781" s="19"/>
      <c r="B781" s="66"/>
      <c r="C781" s="67"/>
      <c r="D781" s="68"/>
      <c r="E781" s="68"/>
      <c r="F781" s="19"/>
    </row>
    <row r="782" ht="15.75" customHeight="1">
      <c r="A782" s="19"/>
      <c r="B782" s="66"/>
      <c r="C782" s="67"/>
      <c r="D782" s="68"/>
      <c r="E782" s="68"/>
      <c r="F782" s="19"/>
    </row>
    <row r="783" ht="15.75" customHeight="1">
      <c r="A783" s="19"/>
      <c r="B783" s="66"/>
      <c r="C783" s="67"/>
      <c r="D783" s="68"/>
      <c r="E783" s="68"/>
      <c r="F783" s="19"/>
    </row>
    <row r="784" ht="15.75" customHeight="1">
      <c r="A784" s="19"/>
      <c r="B784" s="66"/>
      <c r="C784" s="67"/>
      <c r="D784" s="68"/>
      <c r="E784" s="68"/>
      <c r="F784" s="19"/>
    </row>
    <row r="785" ht="15.75" customHeight="1">
      <c r="A785" s="19"/>
      <c r="B785" s="66"/>
      <c r="C785" s="67"/>
      <c r="D785" s="68"/>
      <c r="E785" s="68"/>
      <c r="F785" s="19"/>
    </row>
    <row r="786" ht="15.75" customHeight="1">
      <c r="A786" s="19"/>
      <c r="B786" s="66"/>
      <c r="C786" s="67"/>
      <c r="D786" s="68"/>
      <c r="E786" s="68"/>
      <c r="F786" s="19"/>
    </row>
    <row r="787" ht="15.75" customHeight="1">
      <c r="A787" s="19"/>
      <c r="B787" s="66"/>
      <c r="C787" s="67"/>
      <c r="D787" s="68"/>
      <c r="E787" s="68"/>
      <c r="F787" s="19"/>
    </row>
    <row r="788" ht="15.75" customHeight="1">
      <c r="A788" s="19"/>
      <c r="B788" s="66"/>
      <c r="C788" s="67"/>
      <c r="D788" s="68"/>
      <c r="E788" s="68"/>
      <c r="F788" s="19"/>
    </row>
    <row r="789" ht="15.75" customHeight="1">
      <c r="A789" s="19"/>
      <c r="B789" s="66"/>
      <c r="C789" s="67"/>
      <c r="D789" s="68"/>
      <c r="E789" s="68"/>
      <c r="F789" s="19"/>
    </row>
    <row r="790" ht="15.75" customHeight="1">
      <c r="A790" s="19"/>
      <c r="B790" s="66"/>
      <c r="C790" s="67"/>
      <c r="D790" s="68"/>
      <c r="E790" s="68"/>
      <c r="F790" s="19"/>
    </row>
    <row r="791" ht="15.75" customHeight="1">
      <c r="A791" s="19"/>
      <c r="B791" s="66"/>
      <c r="C791" s="67"/>
      <c r="D791" s="68"/>
      <c r="E791" s="68"/>
      <c r="F791" s="19"/>
    </row>
    <row r="792" ht="15.75" customHeight="1">
      <c r="A792" s="19"/>
      <c r="B792" s="66"/>
      <c r="C792" s="67"/>
      <c r="D792" s="68"/>
      <c r="E792" s="68"/>
      <c r="F792" s="19"/>
    </row>
    <row r="793" ht="15.75" customHeight="1">
      <c r="A793" s="19"/>
      <c r="B793" s="66"/>
      <c r="C793" s="67"/>
      <c r="D793" s="68"/>
      <c r="E793" s="68"/>
      <c r="F793" s="19"/>
    </row>
    <row r="794" ht="15.75" customHeight="1">
      <c r="A794" s="19"/>
      <c r="B794" s="66"/>
      <c r="C794" s="67"/>
      <c r="D794" s="68"/>
      <c r="E794" s="68"/>
      <c r="F794" s="19"/>
    </row>
    <row r="795" ht="15.75" customHeight="1">
      <c r="A795" s="19"/>
      <c r="B795" s="66"/>
      <c r="C795" s="67"/>
      <c r="D795" s="68"/>
      <c r="E795" s="68"/>
      <c r="F795" s="19"/>
    </row>
    <row r="796" ht="15.75" customHeight="1">
      <c r="A796" s="19"/>
      <c r="B796" s="66"/>
      <c r="C796" s="67"/>
      <c r="D796" s="68"/>
      <c r="E796" s="68"/>
      <c r="F796" s="19"/>
    </row>
    <row r="797" ht="15.75" customHeight="1">
      <c r="A797" s="19"/>
      <c r="B797" s="66"/>
      <c r="C797" s="67"/>
      <c r="D797" s="68"/>
      <c r="E797" s="68"/>
      <c r="F797" s="19"/>
    </row>
    <row r="798" ht="15.75" customHeight="1">
      <c r="A798" s="19"/>
      <c r="B798" s="66"/>
      <c r="C798" s="67"/>
      <c r="D798" s="68"/>
      <c r="E798" s="68"/>
      <c r="F798" s="19"/>
    </row>
    <row r="799" ht="15.75" customHeight="1">
      <c r="A799" s="19"/>
      <c r="B799" s="66"/>
      <c r="C799" s="67"/>
      <c r="D799" s="68"/>
      <c r="E799" s="68"/>
      <c r="F799" s="19"/>
    </row>
    <row r="800" ht="15.75" customHeight="1">
      <c r="A800" s="19"/>
      <c r="B800" s="66"/>
      <c r="C800" s="67"/>
      <c r="D800" s="68"/>
      <c r="E800" s="68"/>
      <c r="F800" s="19"/>
    </row>
    <row r="801" ht="15.75" customHeight="1">
      <c r="A801" s="19"/>
      <c r="B801" s="66"/>
      <c r="C801" s="67"/>
      <c r="D801" s="68"/>
      <c r="E801" s="68"/>
      <c r="F801" s="19"/>
    </row>
    <row r="802" ht="15.75" customHeight="1">
      <c r="A802" s="19"/>
      <c r="B802" s="66"/>
      <c r="C802" s="67"/>
      <c r="D802" s="68"/>
      <c r="E802" s="68"/>
      <c r="F802" s="19"/>
    </row>
    <row r="803" ht="15.75" customHeight="1">
      <c r="A803" s="19"/>
      <c r="B803" s="66"/>
      <c r="C803" s="67"/>
      <c r="D803" s="68"/>
      <c r="E803" s="68"/>
      <c r="F803" s="19"/>
    </row>
    <row r="804" ht="15.75" customHeight="1">
      <c r="A804" s="19"/>
      <c r="B804" s="66"/>
      <c r="C804" s="67"/>
      <c r="D804" s="68"/>
      <c r="E804" s="68"/>
      <c r="F804" s="19"/>
    </row>
    <row r="805" ht="15.75" customHeight="1">
      <c r="A805" s="19"/>
      <c r="B805" s="66"/>
      <c r="C805" s="67"/>
      <c r="D805" s="68"/>
      <c r="E805" s="68"/>
      <c r="F805" s="19"/>
    </row>
    <row r="806" ht="15.75" customHeight="1">
      <c r="A806" s="19"/>
      <c r="B806" s="66"/>
      <c r="C806" s="67"/>
      <c r="D806" s="68"/>
      <c r="E806" s="68"/>
      <c r="F806" s="19"/>
    </row>
    <row r="807" ht="15.75" customHeight="1">
      <c r="A807" s="19"/>
      <c r="B807" s="66"/>
      <c r="C807" s="67"/>
      <c r="D807" s="68"/>
      <c r="E807" s="68"/>
      <c r="F807" s="19"/>
    </row>
    <row r="808" ht="15.75" customHeight="1">
      <c r="A808" s="19"/>
      <c r="B808" s="66"/>
      <c r="C808" s="67"/>
      <c r="D808" s="68"/>
      <c r="E808" s="68"/>
      <c r="F808" s="19"/>
    </row>
    <row r="809" ht="15.75" customHeight="1">
      <c r="A809" s="19"/>
      <c r="B809" s="66"/>
      <c r="C809" s="67"/>
      <c r="D809" s="68"/>
      <c r="E809" s="68"/>
      <c r="F809" s="19"/>
    </row>
    <row r="810" ht="15.75" customHeight="1">
      <c r="A810" s="19"/>
      <c r="B810" s="66"/>
      <c r="C810" s="67"/>
      <c r="D810" s="68"/>
      <c r="E810" s="68"/>
      <c r="F810" s="19"/>
    </row>
    <row r="811" ht="15.75" customHeight="1">
      <c r="A811" s="19"/>
      <c r="B811" s="66"/>
      <c r="C811" s="67"/>
      <c r="D811" s="68"/>
      <c r="E811" s="68"/>
      <c r="F811" s="19"/>
    </row>
    <row r="812" ht="15.75" customHeight="1">
      <c r="A812" s="19"/>
      <c r="B812" s="66"/>
      <c r="C812" s="67"/>
      <c r="D812" s="68"/>
      <c r="E812" s="68"/>
      <c r="F812" s="19"/>
    </row>
    <row r="813" ht="15.75" customHeight="1">
      <c r="A813" s="19"/>
      <c r="B813" s="66"/>
      <c r="C813" s="67"/>
      <c r="D813" s="68"/>
      <c r="E813" s="68"/>
      <c r="F813" s="19"/>
    </row>
    <row r="814" ht="15.75" customHeight="1">
      <c r="A814" s="19"/>
      <c r="B814" s="66"/>
      <c r="C814" s="67"/>
      <c r="D814" s="68"/>
      <c r="E814" s="68"/>
      <c r="F814" s="19"/>
    </row>
    <row r="815" ht="15.75" customHeight="1">
      <c r="A815" s="19"/>
      <c r="B815" s="66"/>
      <c r="C815" s="67"/>
      <c r="D815" s="68"/>
      <c r="E815" s="68"/>
      <c r="F815" s="19"/>
    </row>
    <row r="816" ht="15.75" customHeight="1">
      <c r="A816" s="19"/>
      <c r="B816" s="66"/>
      <c r="C816" s="67"/>
      <c r="D816" s="68"/>
      <c r="E816" s="68"/>
      <c r="F816" s="19"/>
    </row>
    <row r="817" ht="15.75" customHeight="1">
      <c r="A817" s="19"/>
      <c r="B817" s="66"/>
      <c r="C817" s="67"/>
      <c r="D817" s="68"/>
      <c r="E817" s="68"/>
      <c r="F817" s="19"/>
    </row>
    <row r="818" ht="15.75" customHeight="1">
      <c r="A818" s="19"/>
      <c r="B818" s="66"/>
      <c r="C818" s="67"/>
      <c r="D818" s="68"/>
      <c r="E818" s="68"/>
      <c r="F818" s="19"/>
    </row>
    <row r="819" ht="15.75" customHeight="1">
      <c r="A819" s="19"/>
      <c r="B819" s="66"/>
      <c r="C819" s="67"/>
      <c r="D819" s="68"/>
      <c r="E819" s="68"/>
      <c r="F819" s="19"/>
    </row>
    <row r="820" ht="15.75" customHeight="1">
      <c r="A820" s="19"/>
      <c r="B820" s="66"/>
      <c r="C820" s="67"/>
      <c r="D820" s="68"/>
      <c r="E820" s="68"/>
      <c r="F820" s="19"/>
    </row>
    <row r="821" ht="15.75" customHeight="1">
      <c r="A821" s="19"/>
      <c r="B821" s="66"/>
      <c r="C821" s="67"/>
      <c r="D821" s="68"/>
      <c r="E821" s="68"/>
      <c r="F821" s="19"/>
    </row>
    <row r="822" ht="15.75" customHeight="1">
      <c r="A822" s="19"/>
      <c r="B822" s="66"/>
      <c r="C822" s="67"/>
      <c r="D822" s="68"/>
      <c r="E822" s="68"/>
      <c r="F822" s="19"/>
    </row>
    <row r="823" ht="15.75" customHeight="1">
      <c r="A823" s="19"/>
      <c r="B823" s="66"/>
      <c r="C823" s="67"/>
      <c r="D823" s="68"/>
      <c r="E823" s="68"/>
      <c r="F823" s="19"/>
    </row>
    <row r="824" ht="15.75" customHeight="1">
      <c r="A824" s="19"/>
      <c r="B824" s="66"/>
      <c r="C824" s="67"/>
      <c r="D824" s="68"/>
      <c r="E824" s="68"/>
      <c r="F824" s="19"/>
    </row>
    <row r="825" ht="15.75" customHeight="1">
      <c r="A825" s="19"/>
      <c r="B825" s="66"/>
      <c r="C825" s="67"/>
      <c r="D825" s="68"/>
      <c r="E825" s="68"/>
      <c r="F825" s="19"/>
    </row>
    <row r="826" ht="15.75" customHeight="1">
      <c r="A826" s="19"/>
      <c r="B826" s="66"/>
      <c r="C826" s="67"/>
      <c r="D826" s="68"/>
      <c r="E826" s="68"/>
      <c r="F826" s="19"/>
    </row>
    <row r="827" ht="15.75" customHeight="1">
      <c r="A827" s="19"/>
      <c r="B827" s="66"/>
      <c r="C827" s="67"/>
      <c r="D827" s="68"/>
      <c r="E827" s="68"/>
      <c r="F827" s="19"/>
    </row>
    <row r="828" ht="15.75" customHeight="1">
      <c r="A828" s="19"/>
      <c r="B828" s="66"/>
      <c r="C828" s="67"/>
      <c r="D828" s="68"/>
      <c r="E828" s="68"/>
      <c r="F828" s="19"/>
    </row>
    <row r="829" ht="15.75" customHeight="1">
      <c r="A829" s="19"/>
      <c r="B829" s="66"/>
      <c r="C829" s="67"/>
      <c r="D829" s="68"/>
      <c r="E829" s="68"/>
      <c r="F829" s="19"/>
    </row>
    <row r="830" ht="15.75" customHeight="1">
      <c r="A830" s="19"/>
      <c r="B830" s="66"/>
      <c r="C830" s="67"/>
      <c r="D830" s="68"/>
      <c r="E830" s="68"/>
      <c r="F830" s="19"/>
    </row>
    <row r="831" ht="15.75" customHeight="1">
      <c r="A831" s="19"/>
      <c r="B831" s="66"/>
      <c r="C831" s="67"/>
      <c r="D831" s="68"/>
      <c r="E831" s="68"/>
      <c r="F831" s="19"/>
    </row>
    <row r="832" ht="15.75" customHeight="1">
      <c r="A832" s="19"/>
      <c r="B832" s="66"/>
      <c r="C832" s="67"/>
      <c r="D832" s="68"/>
      <c r="E832" s="68"/>
      <c r="F832" s="19"/>
    </row>
    <row r="833" ht="15.75" customHeight="1">
      <c r="A833" s="19"/>
      <c r="B833" s="66"/>
      <c r="C833" s="67"/>
      <c r="D833" s="68"/>
      <c r="E833" s="68"/>
      <c r="F833" s="19"/>
    </row>
    <row r="834" ht="15.75" customHeight="1">
      <c r="A834" s="19"/>
      <c r="B834" s="66"/>
      <c r="C834" s="67"/>
      <c r="D834" s="68"/>
      <c r="E834" s="68"/>
      <c r="F834" s="19"/>
    </row>
    <row r="835" ht="15.75" customHeight="1">
      <c r="A835" s="19"/>
      <c r="B835" s="66"/>
      <c r="C835" s="67"/>
      <c r="D835" s="68"/>
      <c r="E835" s="68"/>
      <c r="F835" s="19"/>
    </row>
    <row r="836" ht="15.75" customHeight="1">
      <c r="A836" s="19"/>
      <c r="B836" s="66"/>
      <c r="C836" s="67"/>
      <c r="D836" s="68"/>
      <c r="E836" s="68"/>
      <c r="F836" s="19"/>
    </row>
    <row r="837" ht="15.75" customHeight="1">
      <c r="A837" s="19"/>
      <c r="B837" s="66"/>
      <c r="C837" s="67"/>
      <c r="D837" s="68"/>
      <c r="E837" s="68"/>
      <c r="F837" s="19"/>
    </row>
    <row r="838" ht="15.75" customHeight="1">
      <c r="A838" s="19"/>
      <c r="B838" s="66"/>
      <c r="C838" s="67"/>
      <c r="D838" s="68"/>
      <c r="E838" s="68"/>
      <c r="F838" s="19"/>
    </row>
    <row r="839" ht="15.75" customHeight="1">
      <c r="A839" s="19"/>
      <c r="B839" s="66"/>
      <c r="C839" s="67"/>
      <c r="D839" s="68"/>
      <c r="E839" s="68"/>
      <c r="F839" s="19"/>
    </row>
    <row r="840" ht="15.75" customHeight="1">
      <c r="A840" s="19"/>
      <c r="B840" s="66"/>
      <c r="C840" s="67"/>
      <c r="D840" s="68"/>
      <c r="E840" s="68"/>
      <c r="F840" s="19"/>
    </row>
    <row r="841" ht="15.75" customHeight="1">
      <c r="A841" s="19"/>
      <c r="B841" s="66"/>
      <c r="C841" s="67"/>
      <c r="D841" s="68"/>
      <c r="E841" s="68"/>
      <c r="F841" s="19"/>
    </row>
    <row r="842" ht="15.75" customHeight="1">
      <c r="A842" s="19"/>
      <c r="B842" s="66"/>
      <c r="C842" s="67"/>
      <c r="D842" s="68"/>
      <c r="E842" s="68"/>
      <c r="F842" s="19"/>
    </row>
    <row r="843" ht="15.75" customHeight="1">
      <c r="A843" s="19"/>
      <c r="B843" s="66"/>
      <c r="C843" s="67"/>
      <c r="D843" s="68"/>
      <c r="E843" s="68"/>
      <c r="F843" s="19"/>
    </row>
    <row r="844" ht="15.75" customHeight="1">
      <c r="A844" s="19"/>
      <c r="B844" s="66"/>
      <c r="C844" s="67"/>
      <c r="D844" s="68"/>
      <c r="E844" s="68"/>
      <c r="F844" s="19"/>
    </row>
    <row r="845" ht="15.75" customHeight="1">
      <c r="A845" s="19"/>
      <c r="B845" s="66"/>
      <c r="C845" s="67"/>
      <c r="D845" s="68"/>
      <c r="E845" s="68"/>
      <c r="F845" s="19"/>
    </row>
    <row r="846" ht="15.75" customHeight="1">
      <c r="A846" s="19"/>
      <c r="B846" s="66"/>
      <c r="C846" s="67"/>
      <c r="D846" s="68"/>
      <c r="E846" s="68"/>
      <c r="F846" s="19"/>
    </row>
    <row r="847" ht="15.75" customHeight="1">
      <c r="A847" s="19"/>
      <c r="B847" s="66"/>
      <c r="C847" s="67"/>
      <c r="D847" s="68"/>
      <c r="E847" s="68"/>
      <c r="F847" s="19"/>
    </row>
    <row r="848" ht="15.75" customHeight="1">
      <c r="A848" s="19"/>
      <c r="B848" s="66"/>
      <c r="C848" s="67"/>
      <c r="D848" s="68"/>
      <c r="E848" s="68"/>
      <c r="F848" s="19"/>
    </row>
    <row r="849" ht="15.75" customHeight="1">
      <c r="A849" s="19"/>
      <c r="B849" s="66"/>
      <c r="C849" s="67"/>
      <c r="D849" s="68"/>
      <c r="E849" s="68"/>
      <c r="F849" s="19"/>
    </row>
    <row r="850" ht="15.75" customHeight="1">
      <c r="A850" s="19"/>
      <c r="B850" s="66"/>
      <c r="C850" s="67"/>
      <c r="D850" s="68"/>
      <c r="E850" s="68"/>
      <c r="F850" s="19"/>
    </row>
    <row r="851" ht="15.75" customHeight="1">
      <c r="A851" s="19"/>
      <c r="B851" s="66"/>
      <c r="C851" s="67"/>
      <c r="D851" s="68"/>
      <c r="E851" s="68"/>
      <c r="F851" s="19"/>
    </row>
    <row r="852" ht="15.75" customHeight="1">
      <c r="A852" s="19"/>
      <c r="B852" s="66"/>
      <c r="C852" s="67"/>
      <c r="D852" s="68"/>
      <c r="E852" s="68"/>
      <c r="F852" s="19"/>
    </row>
    <row r="853" ht="15.75" customHeight="1">
      <c r="A853" s="19"/>
      <c r="B853" s="66"/>
      <c r="C853" s="67"/>
      <c r="D853" s="68"/>
      <c r="E853" s="68"/>
      <c r="F853" s="19"/>
    </row>
    <row r="854" ht="15.75" customHeight="1">
      <c r="A854" s="19"/>
      <c r="B854" s="66"/>
      <c r="C854" s="67"/>
      <c r="D854" s="68"/>
      <c r="E854" s="68"/>
      <c r="F854" s="19"/>
    </row>
    <row r="855" ht="15.75" customHeight="1">
      <c r="A855" s="19"/>
      <c r="B855" s="66"/>
      <c r="C855" s="67"/>
      <c r="D855" s="68"/>
      <c r="E855" s="68"/>
      <c r="F855" s="19"/>
    </row>
    <row r="856" ht="15.75" customHeight="1">
      <c r="A856" s="19"/>
      <c r="B856" s="66"/>
      <c r="C856" s="67"/>
      <c r="D856" s="68"/>
      <c r="E856" s="68"/>
      <c r="F856" s="19"/>
    </row>
    <row r="857" ht="15.75" customHeight="1">
      <c r="A857" s="19"/>
      <c r="B857" s="66"/>
      <c r="C857" s="67"/>
      <c r="D857" s="68"/>
      <c r="E857" s="68"/>
      <c r="F857" s="19"/>
    </row>
    <row r="858" ht="15.75" customHeight="1">
      <c r="A858" s="19"/>
      <c r="B858" s="66"/>
      <c r="C858" s="67"/>
      <c r="D858" s="68"/>
      <c r="E858" s="68"/>
      <c r="F858" s="19"/>
    </row>
    <row r="859" ht="15.75" customHeight="1">
      <c r="A859" s="19"/>
      <c r="B859" s="66"/>
      <c r="C859" s="67"/>
      <c r="D859" s="68"/>
      <c r="E859" s="68"/>
      <c r="F859" s="19"/>
    </row>
    <row r="860" ht="15.75" customHeight="1">
      <c r="A860" s="19"/>
      <c r="B860" s="66"/>
      <c r="C860" s="67"/>
      <c r="D860" s="68"/>
      <c r="E860" s="68"/>
      <c r="F860" s="19"/>
    </row>
    <row r="861" ht="15.75" customHeight="1">
      <c r="A861" s="19"/>
      <c r="B861" s="66"/>
      <c r="C861" s="67"/>
      <c r="D861" s="68"/>
      <c r="E861" s="68"/>
      <c r="F861" s="19"/>
    </row>
    <row r="862" ht="15.75" customHeight="1">
      <c r="A862" s="19"/>
      <c r="B862" s="66"/>
      <c r="C862" s="67"/>
      <c r="D862" s="68"/>
      <c r="E862" s="68"/>
      <c r="F862" s="19"/>
    </row>
    <row r="863" ht="15.75" customHeight="1">
      <c r="A863" s="19"/>
      <c r="B863" s="66"/>
      <c r="C863" s="67"/>
      <c r="D863" s="68"/>
      <c r="E863" s="68"/>
      <c r="F863" s="19"/>
    </row>
    <row r="864" ht="15.75" customHeight="1">
      <c r="A864" s="19"/>
      <c r="B864" s="66"/>
      <c r="C864" s="67"/>
      <c r="D864" s="68"/>
      <c r="E864" s="68"/>
      <c r="F864" s="19"/>
    </row>
    <row r="865" ht="15.75" customHeight="1">
      <c r="A865" s="19"/>
      <c r="B865" s="66"/>
      <c r="C865" s="67"/>
      <c r="D865" s="68"/>
      <c r="E865" s="68"/>
      <c r="F865" s="19"/>
    </row>
    <row r="866" ht="15.75" customHeight="1">
      <c r="A866" s="19"/>
      <c r="B866" s="66"/>
      <c r="C866" s="67"/>
      <c r="D866" s="68"/>
      <c r="E866" s="68"/>
      <c r="F866" s="19"/>
    </row>
    <row r="867" ht="15.75" customHeight="1">
      <c r="A867" s="19"/>
      <c r="B867" s="66"/>
      <c r="C867" s="67"/>
      <c r="D867" s="68"/>
      <c r="E867" s="68"/>
      <c r="F867" s="19"/>
    </row>
    <row r="868" ht="15.75" customHeight="1">
      <c r="A868" s="19"/>
      <c r="B868" s="66"/>
      <c r="C868" s="67"/>
      <c r="D868" s="68"/>
      <c r="E868" s="68"/>
      <c r="F868" s="19"/>
    </row>
    <row r="869" ht="15.75" customHeight="1">
      <c r="A869" s="19"/>
      <c r="B869" s="66"/>
      <c r="C869" s="67"/>
      <c r="D869" s="68"/>
      <c r="E869" s="68"/>
      <c r="F869" s="19"/>
    </row>
    <row r="870" ht="15.75" customHeight="1">
      <c r="A870" s="19"/>
      <c r="B870" s="66"/>
      <c r="C870" s="67"/>
      <c r="D870" s="68"/>
      <c r="E870" s="68"/>
      <c r="F870" s="19"/>
    </row>
    <row r="871" ht="15.75" customHeight="1">
      <c r="A871" s="19"/>
      <c r="B871" s="66"/>
      <c r="C871" s="67"/>
      <c r="D871" s="68"/>
      <c r="E871" s="68"/>
      <c r="F871" s="19"/>
    </row>
    <row r="872" ht="15.75" customHeight="1">
      <c r="A872" s="19"/>
      <c r="B872" s="66"/>
      <c r="C872" s="67"/>
      <c r="D872" s="68"/>
      <c r="E872" s="68"/>
      <c r="F872" s="19"/>
    </row>
    <row r="873" ht="15.75" customHeight="1">
      <c r="A873" s="19"/>
      <c r="B873" s="66"/>
      <c r="C873" s="67"/>
      <c r="D873" s="68"/>
      <c r="E873" s="68"/>
      <c r="F873" s="19"/>
    </row>
    <row r="874" ht="15.75" customHeight="1">
      <c r="A874" s="19"/>
      <c r="B874" s="66"/>
      <c r="C874" s="67"/>
      <c r="D874" s="68"/>
      <c r="E874" s="68"/>
      <c r="F874" s="19"/>
    </row>
    <row r="875" ht="15.75" customHeight="1">
      <c r="A875" s="19"/>
      <c r="B875" s="66"/>
      <c r="C875" s="67"/>
      <c r="D875" s="68"/>
      <c r="E875" s="68"/>
      <c r="F875" s="19"/>
    </row>
    <row r="876" ht="15.75" customHeight="1">
      <c r="A876" s="19"/>
      <c r="B876" s="66"/>
      <c r="C876" s="67"/>
      <c r="D876" s="68"/>
      <c r="E876" s="68"/>
      <c r="F876" s="19"/>
    </row>
    <row r="877" ht="15.75" customHeight="1">
      <c r="A877" s="19"/>
      <c r="B877" s="66"/>
      <c r="C877" s="67"/>
      <c r="D877" s="68"/>
      <c r="E877" s="68"/>
      <c r="F877" s="19"/>
    </row>
    <row r="878" ht="15.75" customHeight="1">
      <c r="A878" s="19"/>
      <c r="B878" s="66"/>
      <c r="C878" s="67"/>
      <c r="D878" s="68"/>
      <c r="E878" s="68"/>
      <c r="F878" s="19"/>
    </row>
    <row r="879" ht="15.75" customHeight="1">
      <c r="A879" s="19"/>
      <c r="B879" s="66"/>
      <c r="C879" s="67"/>
      <c r="D879" s="68"/>
      <c r="E879" s="68"/>
      <c r="F879" s="19"/>
    </row>
    <row r="880" ht="15.75" customHeight="1">
      <c r="A880" s="19"/>
      <c r="B880" s="66"/>
      <c r="C880" s="67"/>
      <c r="D880" s="68"/>
      <c r="E880" s="68"/>
      <c r="F880" s="19"/>
    </row>
    <row r="881" ht="15.75" customHeight="1">
      <c r="A881" s="19"/>
      <c r="B881" s="66"/>
      <c r="C881" s="67"/>
      <c r="D881" s="68"/>
      <c r="E881" s="68"/>
      <c r="F881" s="19"/>
    </row>
    <row r="882" ht="15.75" customHeight="1">
      <c r="A882" s="19"/>
      <c r="B882" s="66"/>
      <c r="C882" s="67"/>
      <c r="D882" s="68"/>
      <c r="E882" s="68"/>
      <c r="F882" s="19"/>
    </row>
    <row r="883" ht="15.75" customHeight="1">
      <c r="A883" s="19"/>
      <c r="B883" s="66"/>
      <c r="C883" s="67"/>
      <c r="D883" s="68"/>
      <c r="E883" s="68"/>
      <c r="F883" s="19"/>
    </row>
    <row r="884" ht="15.75" customHeight="1">
      <c r="A884" s="19"/>
      <c r="B884" s="66"/>
      <c r="C884" s="67"/>
      <c r="D884" s="68"/>
      <c r="E884" s="68"/>
      <c r="F884" s="19"/>
    </row>
    <row r="885" ht="15.75" customHeight="1">
      <c r="A885" s="19"/>
      <c r="B885" s="66"/>
      <c r="C885" s="67"/>
      <c r="D885" s="68"/>
      <c r="E885" s="68"/>
      <c r="F885" s="19"/>
    </row>
    <row r="886" ht="15.75" customHeight="1">
      <c r="A886" s="19"/>
      <c r="B886" s="66"/>
      <c r="C886" s="67"/>
      <c r="D886" s="68"/>
      <c r="E886" s="68"/>
      <c r="F886" s="19"/>
    </row>
    <row r="887" ht="15.75" customHeight="1">
      <c r="A887" s="19"/>
      <c r="B887" s="66"/>
      <c r="C887" s="67"/>
      <c r="D887" s="68"/>
      <c r="E887" s="68"/>
      <c r="F887" s="19"/>
    </row>
    <row r="888" ht="15.75" customHeight="1">
      <c r="A888" s="19"/>
      <c r="B888" s="66"/>
      <c r="C888" s="67"/>
      <c r="D888" s="68"/>
      <c r="E888" s="68"/>
      <c r="F888" s="19"/>
    </row>
    <row r="889" ht="15.75" customHeight="1">
      <c r="A889" s="19"/>
      <c r="B889" s="66"/>
      <c r="C889" s="67"/>
      <c r="D889" s="68"/>
      <c r="E889" s="68"/>
      <c r="F889" s="19"/>
    </row>
    <row r="890" ht="15.75" customHeight="1">
      <c r="A890" s="19"/>
      <c r="B890" s="66"/>
      <c r="C890" s="67"/>
      <c r="D890" s="68"/>
      <c r="E890" s="68"/>
      <c r="F890" s="19"/>
    </row>
    <row r="891" ht="15.75" customHeight="1">
      <c r="A891" s="19"/>
      <c r="B891" s="66"/>
      <c r="C891" s="67"/>
      <c r="D891" s="68"/>
      <c r="E891" s="68"/>
      <c r="F891" s="19"/>
    </row>
    <row r="892" ht="15.75" customHeight="1">
      <c r="A892" s="19"/>
      <c r="B892" s="66"/>
      <c r="C892" s="67"/>
      <c r="D892" s="68"/>
      <c r="E892" s="68"/>
      <c r="F892" s="19"/>
    </row>
    <row r="893" ht="15.75" customHeight="1">
      <c r="A893" s="19"/>
      <c r="B893" s="66"/>
      <c r="C893" s="67"/>
      <c r="D893" s="68"/>
      <c r="E893" s="68"/>
      <c r="F893" s="19"/>
    </row>
    <row r="894" ht="15.75" customHeight="1">
      <c r="A894" s="19"/>
      <c r="B894" s="66"/>
      <c r="C894" s="67"/>
      <c r="D894" s="68"/>
      <c r="E894" s="68"/>
      <c r="F894" s="19"/>
    </row>
    <row r="895" ht="15.75" customHeight="1">
      <c r="A895" s="19"/>
      <c r="B895" s="66"/>
      <c r="C895" s="67"/>
      <c r="D895" s="68"/>
      <c r="E895" s="68"/>
      <c r="F895" s="19"/>
    </row>
    <row r="896" ht="15.75" customHeight="1">
      <c r="A896" s="19"/>
      <c r="B896" s="66"/>
      <c r="C896" s="67"/>
      <c r="D896" s="68"/>
      <c r="E896" s="68"/>
      <c r="F896" s="19"/>
    </row>
    <row r="897" ht="15.75" customHeight="1">
      <c r="A897" s="19"/>
      <c r="B897" s="66"/>
      <c r="C897" s="67"/>
      <c r="D897" s="68"/>
      <c r="E897" s="68"/>
      <c r="F897" s="19"/>
    </row>
    <row r="898" ht="15.75" customHeight="1">
      <c r="A898" s="19"/>
      <c r="B898" s="66"/>
      <c r="C898" s="67"/>
      <c r="D898" s="68"/>
      <c r="E898" s="68"/>
      <c r="F898" s="19"/>
    </row>
    <row r="899" ht="15.75" customHeight="1">
      <c r="A899" s="19"/>
      <c r="B899" s="66"/>
      <c r="C899" s="67"/>
      <c r="D899" s="68"/>
      <c r="E899" s="68"/>
      <c r="F899" s="19"/>
    </row>
    <row r="900" ht="15.75" customHeight="1">
      <c r="A900" s="19"/>
      <c r="B900" s="66"/>
      <c r="C900" s="67"/>
      <c r="D900" s="68"/>
      <c r="E900" s="68"/>
      <c r="F900" s="19"/>
    </row>
    <row r="901" ht="15.75" customHeight="1">
      <c r="A901" s="19"/>
      <c r="B901" s="66"/>
      <c r="C901" s="67"/>
      <c r="D901" s="68"/>
      <c r="E901" s="68"/>
      <c r="F901" s="19"/>
    </row>
    <row r="902" ht="15.75" customHeight="1">
      <c r="A902" s="19"/>
      <c r="B902" s="66"/>
      <c r="C902" s="67"/>
      <c r="D902" s="68"/>
      <c r="E902" s="68"/>
      <c r="F902" s="19"/>
    </row>
    <row r="903" ht="15.75" customHeight="1">
      <c r="A903" s="19"/>
      <c r="B903" s="66"/>
      <c r="C903" s="67"/>
      <c r="D903" s="68"/>
      <c r="E903" s="68"/>
      <c r="F903" s="19"/>
    </row>
    <row r="904" ht="15.75" customHeight="1">
      <c r="A904" s="19"/>
      <c r="B904" s="66"/>
      <c r="C904" s="67"/>
      <c r="D904" s="68"/>
      <c r="E904" s="68"/>
      <c r="F904" s="19"/>
    </row>
    <row r="905" ht="15.75" customHeight="1">
      <c r="A905" s="19"/>
      <c r="B905" s="66"/>
      <c r="C905" s="67"/>
      <c r="D905" s="68"/>
      <c r="E905" s="68"/>
      <c r="F905" s="19"/>
    </row>
    <row r="906" ht="15.75" customHeight="1">
      <c r="A906" s="19"/>
      <c r="B906" s="66"/>
      <c r="C906" s="67"/>
      <c r="D906" s="68"/>
      <c r="E906" s="68"/>
      <c r="F906" s="19"/>
    </row>
    <row r="907" ht="15.75" customHeight="1">
      <c r="A907" s="19"/>
      <c r="B907" s="66"/>
      <c r="C907" s="67"/>
      <c r="D907" s="68"/>
      <c r="E907" s="68"/>
      <c r="F907" s="19"/>
    </row>
    <row r="908" ht="15.75" customHeight="1">
      <c r="A908" s="19"/>
      <c r="B908" s="66"/>
      <c r="C908" s="67"/>
      <c r="D908" s="68"/>
      <c r="E908" s="68"/>
      <c r="F908" s="19"/>
    </row>
    <row r="909" ht="15.75" customHeight="1">
      <c r="A909" s="19"/>
      <c r="B909" s="66"/>
      <c r="C909" s="67"/>
      <c r="D909" s="68"/>
      <c r="E909" s="68"/>
      <c r="F909" s="19"/>
    </row>
    <row r="910" ht="15.75" customHeight="1">
      <c r="A910" s="19"/>
      <c r="B910" s="66"/>
      <c r="C910" s="67"/>
      <c r="D910" s="68"/>
      <c r="E910" s="68"/>
      <c r="F910" s="19"/>
    </row>
    <row r="911" ht="15.75" customHeight="1">
      <c r="A911" s="19"/>
      <c r="B911" s="66"/>
      <c r="C911" s="67"/>
      <c r="D911" s="68"/>
      <c r="E911" s="68"/>
      <c r="F911" s="19"/>
    </row>
    <row r="912" ht="15.75" customHeight="1">
      <c r="A912" s="19"/>
      <c r="B912" s="66"/>
      <c r="C912" s="67"/>
      <c r="D912" s="68"/>
      <c r="E912" s="68"/>
      <c r="F912" s="19"/>
    </row>
    <row r="913" ht="15.75" customHeight="1">
      <c r="A913" s="19"/>
      <c r="B913" s="66"/>
      <c r="C913" s="67"/>
      <c r="D913" s="68"/>
      <c r="E913" s="68"/>
      <c r="F913" s="19"/>
    </row>
    <row r="914" ht="15.75" customHeight="1">
      <c r="A914" s="19"/>
      <c r="B914" s="66"/>
      <c r="C914" s="67"/>
      <c r="D914" s="68"/>
      <c r="E914" s="68"/>
      <c r="F914" s="19"/>
    </row>
    <row r="915" ht="15.75" customHeight="1">
      <c r="A915" s="19"/>
      <c r="B915" s="66"/>
      <c r="C915" s="67"/>
      <c r="D915" s="68"/>
      <c r="E915" s="68"/>
      <c r="F915" s="19"/>
    </row>
    <row r="916" ht="15.75" customHeight="1">
      <c r="A916" s="19"/>
      <c r="B916" s="66"/>
      <c r="C916" s="67"/>
      <c r="D916" s="68"/>
      <c r="E916" s="68"/>
      <c r="F916" s="19"/>
    </row>
    <row r="917" ht="15.75" customHeight="1">
      <c r="A917" s="19"/>
      <c r="B917" s="66"/>
      <c r="C917" s="67"/>
      <c r="D917" s="68"/>
      <c r="E917" s="68"/>
      <c r="F917" s="19"/>
    </row>
    <row r="918" ht="15.75" customHeight="1">
      <c r="A918" s="19"/>
      <c r="B918" s="66"/>
      <c r="C918" s="67"/>
      <c r="D918" s="68"/>
      <c r="E918" s="68"/>
      <c r="F918" s="19"/>
    </row>
    <row r="919" ht="15.75" customHeight="1">
      <c r="A919" s="19"/>
      <c r="B919" s="66"/>
      <c r="C919" s="67"/>
      <c r="D919" s="68"/>
      <c r="E919" s="68"/>
      <c r="F919" s="19"/>
    </row>
    <row r="920" ht="15.75" customHeight="1">
      <c r="A920" s="19"/>
      <c r="B920" s="66"/>
      <c r="C920" s="67"/>
      <c r="D920" s="68"/>
      <c r="E920" s="68"/>
      <c r="F920" s="19"/>
    </row>
    <row r="921" ht="15.75" customHeight="1">
      <c r="A921" s="19"/>
      <c r="B921" s="66"/>
      <c r="C921" s="67"/>
      <c r="D921" s="68"/>
      <c r="E921" s="68"/>
      <c r="F921" s="19"/>
    </row>
    <row r="922" ht="15.75" customHeight="1">
      <c r="A922" s="19"/>
      <c r="B922" s="66"/>
      <c r="C922" s="67"/>
      <c r="D922" s="68"/>
      <c r="E922" s="68"/>
      <c r="F922" s="19"/>
    </row>
    <row r="923" ht="15.75" customHeight="1">
      <c r="A923" s="19"/>
      <c r="B923" s="66"/>
      <c r="C923" s="67"/>
      <c r="D923" s="68"/>
      <c r="E923" s="68"/>
      <c r="F923" s="19"/>
    </row>
    <row r="924" ht="15.75" customHeight="1">
      <c r="A924" s="19"/>
      <c r="B924" s="66"/>
      <c r="C924" s="67"/>
      <c r="D924" s="68"/>
      <c r="E924" s="68"/>
      <c r="F924" s="19"/>
    </row>
    <row r="925" ht="15.75" customHeight="1">
      <c r="A925" s="19"/>
      <c r="B925" s="66"/>
      <c r="C925" s="67"/>
      <c r="D925" s="68"/>
      <c r="E925" s="68"/>
      <c r="F925" s="19"/>
    </row>
    <row r="926" ht="15.75" customHeight="1">
      <c r="A926" s="19"/>
      <c r="B926" s="66"/>
      <c r="C926" s="67"/>
      <c r="D926" s="68"/>
      <c r="E926" s="68"/>
      <c r="F926" s="19"/>
    </row>
    <row r="927" ht="15.75" customHeight="1">
      <c r="A927" s="19"/>
      <c r="B927" s="66"/>
      <c r="C927" s="67"/>
      <c r="D927" s="68"/>
      <c r="E927" s="68"/>
      <c r="F927" s="19"/>
    </row>
    <row r="928" ht="15.75" customHeight="1">
      <c r="A928" s="19"/>
      <c r="B928" s="66"/>
      <c r="C928" s="67"/>
      <c r="D928" s="68"/>
      <c r="E928" s="68"/>
      <c r="F928" s="19"/>
    </row>
    <row r="929" ht="15.75" customHeight="1">
      <c r="A929" s="19"/>
      <c r="B929" s="66"/>
      <c r="C929" s="67"/>
      <c r="D929" s="68"/>
      <c r="E929" s="68"/>
      <c r="F929" s="19"/>
    </row>
    <row r="930" ht="15.75" customHeight="1">
      <c r="A930" s="19"/>
      <c r="B930" s="66"/>
      <c r="C930" s="67"/>
      <c r="D930" s="68"/>
      <c r="E930" s="68"/>
      <c r="F930" s="19"/>
    </row>
    <row r="931" ht="15.75" customHeight="1">
      <c r="A931" s="19"/>
      <c r="B931" s="66"/>
      <c r="C931" s="67"/>
      <c r="D931" s="68"/>
      <c r="E931" s="68"/>
      <c r="F931" s="19"/>
    </row>
    <row r="932" ht="15.75" customHeight="1">
      <c r="A932" s="19"/>
      <c r="B932" s="66"/>
      <c r="C932" s="67"/>
      <c r="D932" s="68"/>
      <c r="E932" s="68"/>
      <c r="F932" s="19"/>
    </row>
    <row r="933" ht="15.75" customHeight="1">
      <c r="A933" s="19"/>
      <c r="B933" s="66"/>
      <c r="C933" s="67"/>
      <c r="D933" s="68"/>
      <c r="E933" s="68"/>
      <c r="F933" s="19"/>
    </row>
    <row r="934" ht="15.75" customHeight="1">
      <c r="A934" s="19"/>
      <c r="B934" s="66"/>
      <c r="C934" s="67"/>
      <c r="D934" s="68"/>
      <c r="E934" s="68"/>
      <c r="F934" s="19"/>
    </row>
    <row r="935" ht="15.75" customHeight="1">
      <c r="A935" s="19"/>
      <c r="B935" s="66"/>
      <c r="C935" s="67"/>
      <c r="D935" s="68"/>
      <c r="E935" s="68"/>
      <c r="F935" s="19"/>
    </row>
    <row r="936" ht="15.75" customHeight="1">
      <c r="A936" s="19"/>
      <c r="B936" s="66"/>
      <c r="C936" s="67"/>
      <c r="D936" s="68"/>
      <c r="E936" s="68"/>
      <c r="F936" s="19"/>
    </row>
    <row r="937" ht="15.75" customHeight="1">
      <c r="A937" s="19"/>
      <c r="B937" s="66"/>
      <c r="C937" s="67"/>
      <c r="D937" s="68"/>
      <c r="E937" s="68"/>
      <c r="F937" s="19"/>
    </row>
    <row r="938" ht="15.75" customHeight="1">
      <c r="A938" s="19"/>
      <c r="B938" s="66"/>
      <c r="C938" s="67"/>
      <c r="D938" s="68"/>
      <c r="E938" s="68"/>
      <c r="F938" s="19"/>
    </row>
    <row r="939" ht="15.75" customHeight="1">
      <c r="A939" s="19"/>
      <c r="B939" s="66"/>
      <c r="C939" s="67"/>
      <c r="D939" s="68"/>
      <c r="E939" s="68"/>
      <c r="F939" s="19"/>
    </row>
    <row r="940" ht="15.75" customHeight="1">
      <c r="A940" s="19"/>
      <c r="B940" s="66"/>
      <c r="C940" s="67"/>
      <c r="D940" s="68"/>
      <c r="E940" s="68"/>
      <c r="F940" s="19"/>
    </row>
    <row r="941" ht="15.75" customHeight="1">
      <c r="A941" s="19"/>
      <c r="B941" s="66"/>
      <c r="C941" s="67"/>
      <c r="D941" s="68"/>
      <c r="E941" s="68"/>
      <c r="F941" s="19"/>
    </row>
    <row r="942" ht="15.75" customHeight="1">
      <c r="A942" s="19"/>
      <c r="B942" s="66"/>
      <c r="C942" s="67"/>
      <c r="D942" s="68"/>
      <c r="E942" s="68"/>
      <c r="F942" s="19"/>
    </row>
    <row r="943" ht="15.75" customHeight="1">
      <c r="A943" s="19"/>
      <c r="B943" s="66"/>
      <c r="C943" s="67"/>
      <c r="D943" s="68"/>
      <c r="E943" s="68"/>
      <c r="F943" s="19"/>
    </row>
    <row r="944" ht="15.75" customHeight="1">
      <c r="A944" s="19"/>
      <c r="B944" s="66"/>
      <c r="C944" s="67"/>
      <c r="D944" s="68"/>
      <c r="E944" s="68"/>
      <c r="F944" s="19"/>
    </row>
    <row r="945" ht="15.75" customHeight="1">
      <c r="A945" s="19"/>
      <c r="B945" s="66"/>
      <c r="C945" s="67"/>
      <c r="D945" s="68"/>
      <c r="E945" s="68"/>
      <c r="F945" s="19"/>
    </row>
    <row r="946" ht="15.75" customHeight="1">
      <c r="A946" s="19"/>
      <c r="B946" s="66"/>
      <c r="C946" s="67"/>
      <c r="D946" s="68"/>
      <c r="E946" s="68"/>
      <c r="F946" s="19"/>
    </row>
    <row r="947" ht="15.75" customHeight="1">
      <c r="A947" s="19"/>
      <c r="B947" s="66"/>
      <c r="C947" s="67"/>
      <c r="D947" s="68"/>
      <c r="E947" s="68"/>
      <c r="F947" s="19"/>
    </row>
    <row r="948" ht="15.75" customHeight="1">
      <c r="A948" s="19"/>
      <c r="B948" s="66"/>
      <c r="C948" s="67"/>
      <c r="D948" s="68"/>
      <c r="E948" s="68"/>
      <c r="F948" s="19"/>
    </row>
    <row r="949" ht="15.75" customHeight="1">
      <c r="A949" s="19"/>
      <c r="B949" s="66"/>
      <c r="C949" s="67"/>
      <c r="D949" s="68"/>
      <c r="E949" s="68"/>
      <c r="F949" s="19"/>
    </row>
    <row r="950" ht="15.75" customHeight="1">
      <c r="A950" s="19"/>
      <c r="B950" s="66"/>
      <c r="C950" s="67"/>
      <c r="D950" s="68"/>
      <c r="E950" s="68"/>
      <c r="F950" s="19"/>
    </row>
    <row r="951" ht="15.75" customHeight="1">
      <c r="A951" s="19"/>
      <c r="B951" s="66"/>
      <c r="C951" s="67"/>
      <c r="D951" s="68"/>
      <c r="E951" s="68"/>
      <c r="F951" s="19"/>
    </row>
    <row r="952" ht="15.75" customHeight="1">
      <c r="A952" s="19"/>
      <c r="B952" s="66"/>
      <c r="C952" s="67"/>
      <c r="D952" s="68"/>
      <c r="E952" s="68"/>
      <c r="F952" s="19"/>
    </row>
    <row r="953" ht="15.75" customHeight="1">
      <c r="A953" s="19"/>
      <c r="B953" s="66"/>
      <c r="C953" s="67"/>
      <c r="D953" s="68"/>
      <c r="E953" s="68"/>
      <c r="F953" s="19"/>
    </row>
    <row r="954" ht="15.75" customHeight="1">
      <c r="A954" s="19"/>
      <c r="B954" s="66"/>
      <c r="C954" s="67"/>
      <c r="D954" s="68"/>
      <c r="E954" s="68"/>
      <c r="F954" s="19"/>
    </row>
    <row r="955" ht="15.75" customHeight="1">
      <c r="A955" s="19"/>
      <c r="B955" s="66"/>
      <c r="C955" s="67"/>
      <c r="D955" s="68"/>
      <c r="E955" s="68"/>
      <c r="F955" s="19"/>
    </row>
    <row r="956" ht="15.75" customHeight="1">
      <c r="A956" s="19"/>
      <c r="B956" s="66"/>
      <c r="C956" s="67"/>
      <c r="D956" s="68"/>
      <c r="E956" s="68"/>
      <c r="F956" s="19"/>
    </row>
    <row r="957" ht="15.75" customHeight="1">
      <c r="A957" s="19"/>
      <c r="B957" s="66"/>
      <c r="C957" s="67"/>
      <c r="D957" s="68"/>
      <c r="E957" s="68"/>
      <c r="F957" s="19"/>
    </row>
    <row r="958" ht="15.75" customHeight="1">
      <c r="A958" s="19"/>
      <c r="B958" s="66"/>
      <c r="C958" s="67"/>
      <c r="D958" s="68"/>
      <c r="E958" s="68"/>
      <c r="F958" s="19"/>
    </row>
    <row r="959" ht="15.75" customHeight="1">
      <c r="A959" s="19"/>
      <c r="B959" s="66"/>
      <c r="C959" s="67"/>
      <c r="D959" s="68"/>
      <c r="E959" s="68"/>
      <c r="F959" s="19"/>
    </row>
    <row r="960" ht="15.75" customHeight="1">
      <c r="A960" s="19"/>
      <c r="B960" s="66"/>
      <c r="C960" s="67"/>
      <c r="D960" s="68"/>
      <c r="E960" s="68"/>
      <c r="F960" s="19"/>
    </row>
    <row r="961" ht="15.75" customHeight="1">
      <c r="A961" s="19"/>
      <c r="B961" s="66"/>
      <c r="C961" s="67"/>
      <c r="D961" s="68"/>
      <c r="E961" s="68"/>
      <c r="F961" s="19"/>
    </row>
    <row r="962" ht="15.75" customHeight="1">
      <c r="A962" s="19"/>
      <c r="B962" s="66"/>
      <c r="C962" s="67"/>
      <c r="D962" s="68"/>
      <c r="E962" s="68"/>
      <c r="F962" s="19"/>
    </row>
    <row r="963" ht="15.75" customHeight="1">
      <c r="A963" s="19"/>
      <c r="B963" s="66"/>
      <c r="C963" s="67"/>
      <c r="D963" s="68"/>
      <c r="E963" s="68"/>
      <c r="F963" s="19"/>
    </row>
    <row r="964" ht="15.75" customHeight="1">
      <c r="A964" s="19"/>
      <c r="B964" s="66"/>
      <c r="C964" s="67"/>
      <c r="D964" s="68"/>
      <c r="E964" s="68"/>
      <c r="F964" s="19"/>
    </row>
    <row r="965" ht="15.75" customHeight="1">
      <c r="A965" s="19"/>
      <c r="B965" s="66"/>
      <c r="C965" s="67"/>
      <c r="D965" s="68"/>
      <c r="E965" s="68"/>
      <c r="F965" s="19"/>
    </row>
    <row r="966" ht="15.75" customHeight="1">
      <c r="A966" s="19"/>
      <c r="B966" s="66"/>
      <c r="C966" s="67"/>
      <c r="D966" s="68"/>
      <c r="E966" s="68"/>
      <c r="F966" s="19"/>
    </row>
    <row r="967" ht="15.75" customHeight="1">
      <c r="A967" s="19"/>
      <c r="B967" s="66"/>
      <c r="C967" s="67"/>
      <c r="D967" s="68"/>
      <c r="E967" s="68"/>
      <c r="F967" s="19"/>
    </row>
    <row r="968" ht="15.75" customHeight="1">
      <c r="A968" s="19"/>
      <c r="B968" s="66"/>
      <c r="C968" s="67"/>
      <c r="D968" s="68"/>
      <c r="E968" s="68"/>
      <c r="F968" s="19"/>
    </row>
    <row r="969" ht="15.75" customHeight="1">
      <c r="A969" s="19"/>
      <c r="B969" s="66"/>
      <c r="C969" s="67"/>
      <c r="D969" s="68"/>
      <c r="E969" s="68"/>
      <c r="F969" s="19"/>
    </row>
    <row r="970" ht="15.75" customHeight="1">
      <c r="A970" s="19"/>
      <c r="B970" s="66"/>
      <c r="C970" s="67"/>
      <c r="D970" s="68"/>
      <c r="E970" s="68"/>
      <c r="F970" s="19"/>
    </row>
    <row r="971" ht="15.75" customHeight="1">
      <c r="A971" s="19"/>
      <c r="B971" s="66"/>
      <c r="C971" s="67"/>
      <c r="D971" s="68"/>
      <c r="E971" s="68"/>
      <c r="F971" s="19"/>
    </row>
    <row r="972" ht="15.75" customHeight="1">
      <c r="A972" s="19"/>
      <c r="B972" s="66"/>
      <c r="C972" s="67"/>
      <c r="D972" s="68"/>
      <c r="E972" s="68"/>
      <c r="F972" s="19"/>
    </row>
    <row r="973" ht="15.75" customHeight="1">
      <c r="A973" s="19"/>
      <c r="B973" s="66"/>
      <c r="C973" s="67"/>
      <c r="D973" s="68"/>
      <c r="E973" s="68"/>
      <c r="F973" s="19"/>
    </row>
    <row r="974" ht="15.75" customHeight="1">
      <c r="A974" s="19"/>
      <c r="B974" s="66"/>
      <c r="C974" s="67"/>
      <c r="D974" s="68"/>
      <c r="E974" s="68"/>
      <c r="F974" s="19"/>
    </row>
    <row r="975" ht="15.75" customHeight="1">
      <c r="A975" s="19"/>
      <c r="B975" s="66"/>
      <c r="C975" s="67"/>
      <c r="D975" s="68"/>
      <c r="E975" s="68"/>
      <c r="F975" s="19"/>
    </row>
  </sheetData>
  <dataValidations>
    <dataValidation type="list" allowBlank="1" showErrorMessage="1" sqref="B3:B975">
      <formula1>Magazzino!$B$4:$B$987</formula1>
    </dataValidation>
  </dataValidations>
  <drawing r:id="rId1"/>
  <tableParts count="1">
    <tablePart r:id="rId3"/>
  </tableParts>
</worksheet>
</file>